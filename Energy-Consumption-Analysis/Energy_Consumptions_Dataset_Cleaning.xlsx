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T.B\Desktop\resources\Energy-Consumption-Analysis\"/>
    </mc:Choice>
  </mc:AlternateContent>
  <xr:revisionPtr revIDLastSave="0" documentId="13_ncr:1_{B9B6B14F-C223-46E1-9292-B353F77632D3}" xr6:coauthVersionLast="47" xr6:coauthVersionMax="47" xr10:uidLastSave="{00000000-0000-0000-0000-000000000000}"/>
  <bookViews>
    <workbookView xWindow="-108" yWindow="-108" windowWidth="23256" windowHeight="12576" xr2:uid="{CB945F75-1317-47FB-9CF9-72D55A42D42D}"/>
  </bookViews>
  <sheets>
    <sheet name="Dashboard(Cost)" sheetId="2" r:id="rId1"/>
    <sheet name="Pivot Table" sheetId="1" r:id="rId2"/>
  </sheets>
  <definedNames>
    <definedName name="Slicer_Date__Year">#N/A</definedName>
    <definedName name="Slicer_Energy_Type">#N/A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tes_24a04d5e-0383-453c-8131-93d4ae43ec56" name="Rates" connection="Query - Rates"/>
          <x15:modelTable id="Building Master_7c3718de-881b-48aa-863f-ffa6925f70b7" name="Building Master" connection="Query - Building Master"/>
          <x15:modelTable id="Energy Consumptions_2cf9ca29-a496-412b-a12a-a010bc5b7072" name="Energy Consumptions" connection="Query - Energy Consumptions"/>
        </x15:modelTables>
        <x15:modelRelationships>
          <x15:modelRelationship fromTable="Energy Consumptions" fromColumn="Building" toTable="Building Master" toColumn="Building"/>
          <x15:modelRelationship fromTable="Energy Consumptions" fromColumn="Rate" toTable="Rates" toColumn="Rate"/>
        </x15:modelRelationships>
        <x15:extLst>
          <ext xmlns:x16="http://schemas.microsoft.com/office/spreadsheetml/2014/11/main" uri="{9835A34E-60A6-4A7C-AAB8-D5F71C897F49}">
            <x16:modelTimeGroupings>
              <x16:modelTimeGrouping tableName="Energy Consumption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3" i="1" l="1"/>
  <c r="I41" i="1"/>
  <c r="G32" i="1"/>
  <c r="K32" i="1"/>
  <c r="H32" i="1"/>
  <c r="I3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75EAEB-449E-4396-9B23-8F6AE0BC922D}" name="Query - Building Master" description="Connection to the 'Building Master' query in the workbook." type="100" refreshedVersion="8" minRefreshableVersion="5">
    <extLst>
      <ext xmlns:x15="http://schemas.microsoft.com/office/spreadsheetml/2010/11/main" uri="{DE250136-89BD-433C-8126-D09CA5730AF9}">
        <x15:connection id="b8855337-dc1b-4553-86e5-f697ffab3882"/>
      </ext>
    </extLst>
  </connection>
  <connection id="2" xr16:uid="{9BD1559B-AC47-490C-9F81-03C032EE3F9B}" name="Query - Energy Consumptions" description="Connection to the 'Energy Consumptions' query in the workbook." type="100" refreshedVersion="8" minRefreshableVersion="5">
    <extLst>
      <ext xmlns:x15="http://schemas.microsoft.com/office/spreadsheetml/2010/11/main" uri="{DE250136-89BD-433C-8126-D09CA5730AF9}">
        <x15:connection id="00bffb7f-5bac-486b-878f-90200cb62175"/>
      </ext>
    </extLst>
  </connection>
  <connection id="3" xr16:uid="{3B9C832C-2FE2-4FBB-B236-36918E27EEA0}" name="Query - Rates" description="Connection to the 'Rates' query in the workbook." type="100" refreshedVersion="8" minRefreshableVersion="5">
    <extLst>
      <ext xmlns:x15="http://schemas.microsoft.com/office/spreadsheetml/2010/11/main" uri="{DE250136-89BD-433C-8126-D09CA5730AF9}">
        <x15:connection id="594c230c-458e-4b16-aae3-567f50dadcc9"/>
      </ext>
    </extLst>
  </connection>
  <connection id="4" xr16:uid="{BDB11F08-4CEC-4B2D-B7E2-39742F57A9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Rates].[Energy Type].&amp;[Water]}"/>
    <s v="{[Rates].[Energy Type].&amp;[Gas]}"/>
    <s v="{[Rates].[Energy Type].&amp;[Electricity]}"/>
    <s v="{[Energy Consumptions].[Date (Year)].&amp;[2018]}"/>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<sst xmlns="http://schemas.openxmlformats.org/spreadsheetml/2006/main" count="71" uniqueCount="34">
  <si>
    <t>Row Labels</t>
  </si>
  <si>
    <t>Grand Total</t>
  </si>
  <si>
    <t>Jan</t>
  </si>
  <si>
    <t>Feb</t>
  </si>
  <si>
    <t>Mar</t>
  </si>
  <si>
    <t>Apr</t>
  </si>
  <si>
    <t>May</t>
  </si>
  <si>
    <t>Jun</t>
  </si>
  <si>
    <t>Jul</t>
  </si>
  <si>
    <t>Aug</t>
  </si>
  <si>
    <t>Sep</t>
  </si>
  <si>
    <t>Oct</t>
  </si>
  <si>
    <t>Nov</t>
  </si>
  <si>
    <t>Dec</t>
  </si>
  <si>
    <t>Total Price</t>
  </si>
  <si>
    <t>Electricity</t>
  </si>
  <si>
    <t>Gas</t>
  </si>
  <si>
    <t>Water</t>
  </si>
  <si>
    <t>B1003</t>
  </si>
  <si>
    <t>B1006</t>
  </si>
  <si>
    <t>Chicago</t>
  </si>
  <si>
    <t>Houston</t>
  </si>
  <si>
    <t>Los Angeles</t>
  </si>
  <si>
    <t>New York</t>
  </si>
  <si>
    <t>Phoenix</t>
  </si>
  <si>
    <t>Energy Type</t>
  </si>
  <si>
    <t>Count of Buliding</t>
  </si>
  <si>
    <t>Count of Cities</t>
  </si>
  <si>
    <t>Cost Price</t>
  </si>
  <si>
    <t>Date (Year)</t>
  </si>
  <si>
    <t>B1008</t>
  </si>
  <si>
    <t>B1000</t>
  </si>
  <si>
    <t>2018</t>
  </si>
  <si>
    <t>B1005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</si>
</sst>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164" fontId="0" fillId="0" borderId="0" xfId="0" applyNumberFormat="1"/>
    <xf numFmtId="0" fontId="0" fillId="0" borderId="0" xfId="0" applyAlignment="1">
      <alignment horizontal="center"/>
    </xf>
    <xf numFmtId="1" fontId="0" fillId="0" borderId="0" xfId="0" applyNumberFormat="1"/>
  </cellXfs>
  <cellStyles count="1">
    <cellStyle name="Normal" xfId="0" builtinId="0"/>
  </cellStyles>
  <dxfs count="2">
    <dxf>
      <fill>
        <patternFill patternType="none">
          <bgColor auto="1"/>
        </patternFill>
      </fill>
    </dxf>
    <dxf>
      <font>
        <b/>
        <i val="0"/>
        <sz val="14"/>
        <color theme="3" tint="9.9948118533890809E-2"/>
        <name val="Aptos Narrow"/>
        <family val="2"/>
        <scheme val="minor"/>
      </font>
    </dxf>
  </dxfs>
  <tableStyles count="4" defaultTableStyle="TableStyleMedium2" defaultPivotStyle="PivotStyleLight16">
    <tableStyle name="Slicer Style 1" pivot="0" table="0" count="1" xr9:uid="{1C167E73-761C-412D-85C8-D6BA37E74888}">
      <tableStyleElement type="wholeTable" dxfId="1"/>
    </tableStyle>
    <tableStyle name="Slicer Style 2" pivot="0" table="0" count="1" xr9:uid="{6FC47E59-C4F3-4D56-910A-EA78F080848A}"/>
    <tableStyle name="Slicer Style 3" pivot="0" table="0" count="2" xr9:uid="{57C0B876-0E71-4914-9FE9-DB9C1D289275}">
      <tableStyleElement type="wholeTable" dxfId="0"/>
    </tableStyle>
    <tableStyle name="Slicer Style 4" pivot="0" table="0" count="0" xr9:uid="{065E2A4A-9AEA-4070-BE1C-EDBDD4B85FA0}"/>
  </tableStyles>
  <extLst>
    <ext xmlns:x14="http://schemas.microsoft.com/office/spreadsheetml/2009/9/main" uri="{46F421CA-312F-682f-3DD2-61675219B42D}">
      <x14:dxfs count="2">
        <dxf>
          <fill>
            <patternFill patternType="none">
              <bgColor auto="1"/>
            </patternFill>
          </fill>
          <border>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1" Type="http://schemas.openxmlformats.org/officeDocument/2006/relationships/pivotCacheDefinition" Target="pivotCache/pivotCacheDefinition9.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3" Type="http://schemas.openxmlformats.org/officeDocument/2006/relationships/customXml" Target="../customXml/item30.xml"/><Relationship Id="rId5" Type="http://schemas.openxmlformats.org/officeDocument/2006/relationships/pivotCacheDefinition" Target="pivotCache/pivotCacheDefinition3.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52" Type="http://schemas.openxmlformats.org/officeDocument/2006/relationships/customXml" Target="../customXml/item2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pivotCacheDefinition" Target="pivotCache/pivotCacheDefinition6.xml"/><Relationship Id="rId51" Type="http://schemas.openxmlformats.org/officeDocument/2006/relationships/customXml" Target="../customXml/item28.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sharedStrings" Target="sharedString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[Energy_Consumptions_Dataset_Cleaning.xlsx]Pivot Table!PivotTable2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Cost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multiLvlStrRef>
              <c:f>'Pivot Table'!$A$2:$A$15</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2018</c:v>
                  </c:pt>
                </c:lvl>
              </c:multiLvlStrCache>
            </c:multiLvlStrRef>
          </c:cat>
          <c:val>
            <c:numRef>
              <c:f>'Pivot Table'!$B$2:$B$15</c:f>
              <c:numCache>
                <c:formatCode>\$#,##0.00;\-\$#,##0.00;\$#,##0.00</c:formatCode>
                <c:ptCount val="12"/>
                <c:pt idx="0">
                  <c:v>234172.44950000002</c:v>
                </c:pt>
                <c:pt idx="1">
                  <c:v>271690.49599999998</c:v>
                </c:pt>
                <c:pt idx="2">
                  <c:v>231119.43799999999</c:v>
                </c:pt>
                <c:pt idx="3">
                  <c:v>271875.56550000003</c:v>
                </c:pt>
                <c:pt idx="4">
                  <c:v>233078.73050000001</c:v>
                </c:pt>
                <c:pt idx="5">
                  <c:v>242083.49</c:v>
                </c:pt>
                <c:pt idx="6">
                  <c:v>239582.541</c:v>
                </c:pt>
                <c:pt idx="7">
                  <c:v>241159.29199999999</c:v>
                </c:pt>
                <c:pt idx="8">
                  <c:v>205450.80049999998</c:v>
                </c:pt>
                <c:pt idx="9">
                  <c:v>228132.37149999995</c:v>
                </c:pt>
                <c:pt idx="10">
                  <c:v>231815.73249999998</c:v>
                </c:pt>
                <c:pt idx="11">
                  <c:v>235763.35749999998</c:v>
                </c:pt>
              </c:numCache>
            </c:numRef>
          </c:val>
          <c:smooth val="0"/>
          <c:extLst>
            <c:ext xmlns:c16="http://schemas.microsoft.com/office/drawing/2014/chart" uri="{C3380CC4-5D6E-409C-BE32-E72D297353CC}">
              <c16:uniqueId val="{00000000-8740-494A-A929-BFFB713F9056}"/>
            </c:ext>
          </c:extLst>
        </c:ser>
        <c:dLbls>
          <c:showLegendKey val="0"/>
          <c:showVal val="0"/>
          <c:showCatName val="0"/>
          <c:showSerName val="0"/>
          <c:showPercent val="0"/>
          <c:showBubbleSize val="0"/>
        </c:dLbls>
        <c:smooth val="0"/>
        <c:axId val="1761222543"/>
        <c:axId val="1761225423"/>
      </c:lineChart>
      <c:catAx>
        <c:axId val="1761222543"/>
        <c:scaling>
          <c:orientation val="minMax"/>
        </c:scaling>
        <c:delete val="1"/>
        <c:axPos val="b"/>
        <c:numFmt formatCode="General" sourceLinked="1"/>
        <c:majorTickMark val="out"/>
        <c:minorTickMark val="none"/>
        <c:tickLblPos val="nextTo"/>
        <c:crossAx val="1761225423"/>
        <c:crosses val="autoZero"/>
        <c:auto val="1"/>
        <c:lblAlgn val="ctr"/>
        <c:lblOffset val="100"/>
        <c:noMultiLvlLbl val="0"/>
      </c:catAx>
      <c:valAx>
        <c:axId val="1761225423"/>
        <c:scaling>
          <c:orientation val="minMax"/>
        </c:scaling>
        <c:delete val="0"/>
        <c:axPos val="l"/>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22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[Energy_Consumptions_Dataset_Cleaning.xlsx]Pivot Table!PivotTable3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Compared </a:t>
            </a:r>
            <a:r>
              <a:rPr lang="en-GB"/>
              <a:t>with</a:t>
            </a:r>
            <a:r>
              <a:rPr lang="en-US"/>
              <a:t> previous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mmmm\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numFmt formatCode="\ mmmm\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0.00%</c:formatCode>
                <c:ptCount val="12"/>
                <c:pt idx="1">
                  <c:v>0.16021545907773393</c:v>
                </c:pt>
                <c:pt idx="2">
                  <c:v>-0.1493282194162581</c:v>
                </c:pt>
                <c:pt idx="3">
                  <c:v>0.1763422750275121</c:v>
                </c:pt>
                <c:pt idx="4">
                  <c:v>-0.14270070548138325</c:v>
                </c:pt>
                <c:pt idx="5">
                  <c:v>3.8633982091300201E-2</c:v>
                </c:pt>
                <c:pt idx="6">
                  <c:v>-1.033093582713961E-2</c:v>
                </c:pt>
                <c:pt idx="7">
                  <c:v>6.5812433302474627E-3</c:v>
                </c:pt>
                <c:pt idx="8">
                  <c:v>-0.14807014568611357</c:v>
                </c:pt>
                <c:pt idx="9">
                  <c:v>0.11039903930673645</c:v>
                </c:pt>
                <c:pt idx="10">
                  <c:v>1.6145718276549079E-2</c:v>
                </c:pt>
                <c:pt idx="11">
                  <c:v>1.7029150512897134E-2</c:v>
                </c:pt>
              </c:numCache>
            </c:numRef>
          </c:val>
          <c:extLst>
            <c:ext xmlns:c16="http://schemas.microsoft.com/office/drawing/2014/chart" uri="{C3380CC4-5D6E-409C-BE32-E72D297353CC}">
              <c16:uniqueId val="{00000000-FA9D-4CB9-9194-53F80644EF34}"/>
            </c:ext>
          </c:extLst>
        </c:ser>
        <c:dLbls>
          <c:dLblPos val="outEnd"/>
          <c:showLegendKey val="0"/>
          <c:showVal val="1"/>
          <c:showCatName val="0"/>
          <c:showSerName val="0"/>
          <c:showPercent val="0"/>
          <c:showBubbleSize val="0"/>
        </c:dLbls>
        <c:gapWidth val="219"/>
        <c:overlap val="-27"/>
        <c:axId val="1761221583"/>
        <c:axId val="1761200463"/>
      </c:barChart>
      <c:catAx>
        <c:axId val="1761221583"/>
        <c:scaling>
          <c:orientation val="minMax"/>
        </c:scaling>
        <c:delete val="1"/>
        <c:axPos val="b"/>
        <c:numFmt formatCode="General" sourceLinked="1"/>
        <c:majorTickMark val="out"/>
        <c:minorTickMark val="none"/>
        <c:tickLblPos val="nextTo"/>
        <c:crossAx val="1761200463"/>
        <c:crosses val="autoZero"/>
        <c:auto val="1"/>
        <c:lblAlgn val="ctr"/>
        <c:lblOffset val="100"/>
        <c:noMultiLvlLbl val="0"/>
      </c:catAx>
      <c:valAx>
        <c:axId val="1761200463"/>
        <c:scaling>
          <c:orientation val="minMax"/>
          <c:max val="0.2"/>
          <c:min val="-0.2"/>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221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[Energy_Consumptions_Dataset_Cleaning.xlsx]Pivot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 buliding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Table'!$H$8</c:f>
              <c:strCache>
                <c:ptCount val="1"/>
                <c:pt idx="0">
                  <c:v>Total</c:v>
                </c:pt>
              </c:strCache>
            </c:strRef>
          </c:tx>
          <c:spPr>
            <a:solidFill>
              <a:schemeClr val="accent1"/>
            </a:solidFill>
            <a:ln>
              <a:noFill/>
            </a:ln>
            <a:effectLst/>
          </c:spPr>
          <c:invertIfNegative val="0"/>
          <c:cat>
            <c:strRef>
              <c:f>'Pivot Table'!$G$9:$G$14</c:f>
              <c:strCache>
                <c:ptCount val="5"/>
                <c:pt idx="0">
                  <c:v>B1008</c:v>
                </c:pt>
                <c:pt idx="1">
                  <c:v>B1000</c:v>
                </c:pt>
                <c:pt idx="2">
                  <c:v>B1003</c:v>
                </c:pt>
                <c:pt idx="3">
                  <c:v>B1006</c:v>
                </c:pt>
                <c:pt idx="4">
                  <c:v>B1005</c:v>
                </c:pt>
              </c:strCache>
            </c:strRef>
          </c:cat>
          <c:val>
            <c:numRef>
              <c:f>'Pivot Table'!$H$9:$H$14</c:f>
              <c:numCache>
                <c:formatCode>\$#,##0.00;\-\$#,##0.00;\$#,##0.00</c:formatCode>
                <c:ptCount val="5"/>
                <c:pt idx="0">
                  <c:v>297976.71749999997</c:v>
                </c:pt>
                <c:pt idx="1">
                  <c:v>296804.89300000004</c:v>
                </c:pt>
                <c:pt idx="2">
                  <c:v>284733.32800000004</c:v>
                </c:pt>
                <c:pt idx="3">
                  <c:v>280613.76199999999</c:v>
                </c:pt>
                <c:pt idx="4">
                  <c:v>267695.43899999995</c:v>
                </c:pt>
              </c:numCache>
            </c:numRef>
          </c:val>
          <c:extLst>
            <c:ext xmlns:c16="http://schemas.microsoft.com/office/drawing/2014/chart" uri="{C3380CC4-5D6E-409C-BE32-E72D297353CC}">
              <c16:uniqueId val="{00000000-253A-4EB5-A210-A2F4BE3CFDB7}"/>
            </c:ext>
          </c:extLst>
        </c:ser>
        <c:dLbls>
          <c:showLegendKey val="0"/>
          <c:showVal val="0"/>
          <c:showCatName val="0"/>
          <c:showSerName val="0"/>
          <c:showPercent val="0"/>
          <c:showBubbleSize val="0"/>
        </c:dLbls>
        <c:gapWidth val="219"/>
        <c:overlap val="-27"/>
        <c:axId val="2141143184"/>
        <c:axId val="2141143664"/>
      </c:barChart>
      <c:catAx>
        <c:axId val="21411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143664"/>
        <c:crosses val="autoZero"/>
        <c:auto val="1"/>
        <c:lblAlgn val="ctr"/>
        <c:lblOffset val="100"/>
        <c:noMultiLvlLbl val="0"/>
      </c:catAx>
      <c:valAx>
        <c:axId val="2141143664"/>
        <c:scaling>
          <c:orientation val="minMax"/>
        </c:scaling>
        <c:delete val="1"/>
        <c:axPos val="l"/>
        <c:numFmt formatCode="\$#,##0.00;\-\$#,##0.00;\$#,##0.00" sourceLinked="1"/>
        <c:majorTickMark val="none"/>
        <c:minorTickMark val="none"/>
        <c:tickLblPos val="nextTo"/>
        <c:crossAx val="214114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[Energy_Consumptions_Dataset_Cleaning.xlsx]Pivot Table!PivotTable4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dLbl>
          <c:idx val="0"/>
          <c:layout>
            <c:manualLayout>
              <c:x val="-8.3333333333334356E-3"/>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tint val="65000"/>
            </a:schemeClr>
          </a:solidFill>
          <a:ln w="19050">
            <a:solidFill>
              <a:schemeClr val="lt1"/>
            </a:solidFill>
          </a:ln>
          <a:effectLst/>
        </c:spPr>
      </c:pivotFmt>
    </c:pivotFmts>
    <c:plotArea>
      <c:layout/>
      <c:pieChart>
        <c:varyColors val="1"/>
        <c:ser>
          <c:idx val="0"/>
          <c:order val="0"/>
          <c:tx>
            <c:strRef>
              <c:f>'Pivot Table'!$H$1</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6CF4-4571-AA75-272077AF4180}"/>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6CF4-4571-AA75-272077AF4180}"/>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6CF4-4571-AA75-272077AF4180}"/>
              </c:ext>
            </c:extLst>
          </c:dPt>
          <c:dLbls>
            <c:dLbl>
              <c:idx val="0"/>
              <c:layout>
                <c:manualLayout>
                  <c:x val="-8.3333333333334356E-3"/>
                  <c:y val="1.3888888888888888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F4-4571-AA75-272077AF418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Table'!$G$2:$G$5</c:f>
              <c:strCache>
                <c:ptCount val="3"/>
                <c:pt idx="0">
                  <c:v>Electricity</c:v>
                </c:pt>
                <c:pt idx="1">
                  <c:v>Gas</c:v>
                </c:pt>
                <c:pt idx="2">
                  <c:v>Water</c:v>
                </c:pt>
              </c:strCache>
            </c:strRef>
          </c:cat>
          <c:val>
            <c:numRef>
              <c:f>'Pivot Table'!$H$2:$H$5</c:f>
              <c:numCache>
                <c:formatCode>\$#,##0.00;\-\$#,##0.00;\$#,##0.00</c:formatCode>
                <c:ptCount val="3"/>
                <c:pt idx="0">
                  <c:v>542462.35999999987</c:v>
                </c:pt>
                <c:pt idx="1">
                  <c:v>825904.85999999975</c:v>
                </c:pt>
                <c:pt idx="2">
                  <c:v>2865924.2645000014</c:v>
                </c:pt>
              </c:numCache>
            </c:numRef>
          </c:val>
          <c:extLst>
            <c:ext xmlns:c16="http://schemas.microsoft.com/office/drawing/2014/chart" uri="{C3380CC4-5D6E-409C-BE32-E72D297353CC}">
              <c16:uniqueId val="{00000006-6CF4-4571-AA75-272077AF418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[Energy_Consumptions_Dataset_Cleaning.xlsx]Pivot 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Table'!$H$18</c:f>
              <c:strCache>
                <c:ptCount val="1"/>
                <c:pt idx="0">
                  <c:v>Total</c:v>
                </c:pt>
              </c:strCache>
            </c:strRef>
          </c:tx>
          <c:spPr>
            <a:solidFill>
              <a:schemeClr val="accent1"/>
            </a:solidFill>
            <a:ln>
              <a:noFill/>
            </a:ln>
            <a:effectLst/>
          </c:spPr>
          <c:invertIfNegative val="0"/>
          <c:cat>
            <c:strRef>
              <c:f>'Pivot Table'!$G$19:$G$24</c:f>
              <c:strCache>
                <c:ptCount val="5"/>
                <c:pt idx="0">
                  <c:v>Chicago</c:v>
                </c:pt>
                <c:pt idx="1">
                  <c:v>New York</c:v>
                </c:pt>
                <c:pt idx="2">
                  <c:v>Los Angeles</c:v>
                </c:pt>
                <c:pt idx="3">
                  <c:v>Phoenix</c:v>
                </c:pt>
                <c:pt idx="4">
                  <c:v>Houston</c:v>
                </c:pt>
              </c:strCache>
            </c:strRef>
          </c:cat>
          <c:val>
            <c:numRef>
              <c:f>'Pivot Table'!$H$19:$H$24</c:f>
              <c:numCache>
                <c:formatCode>\$#,##0.00;\-\$#,##0.00;\$#,##0.00</c:formatCode>
                <c:ptCount val="5"/>
                <c:pt idx="0">
                  <c:v>799493.76650000003</c:v>
                </c:pt>
                <c:pt idx="1">
                  <c:v>798151.51349999977</c:v>
                </c:pt>
                <c:pt idx="2">
                  <c:v>719969.78350000014</c:v>
                </c:pt>
                <c:pt idx="3">
                  <c:v>280613.76199999999</c:v>
                </c:pt>
                <c:pt idx="4">
                  <c:v>267695.43899999995</c:v>
                </c:pt>
              </c:numCache>
            </c:numRef>
          </c:val>
          <c:extLst>
            <c:ext xmlns:c16="http://schemas.microsoft.com/office/drawing/2014/chart" uri="{C3380CC4-5D6E-409C-BE32-E72D297353CC}">
              <c16:uniqueId val="{00000000-6C16-4A6D-955F-55B984D285F5}"/>
            </c:ext>
          </c:extLst>
        </c:ser>
        <c:dLbls>
          <c:showLegendKey val="0"/>
          <c:showVal val="0"/>
          <c:showCatName val="0"/>
          <c:showSerName val="0"/>
          <c:showPercent val="0"/>
          <c:showBubbleSize val="0"/>
        </c:dLbls>
        <c:gapWidth val="219"/>
        <c:overlap val="-27"/>
        <c:axId val="1143350544"/>
        <c:axId val="1407260287"/>
      </c:barChart>
      <c:catAx>
        <c:axId val="1143350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260287"/>
        <c:crosses val="autoZero"/>
        <c:auto val="1"/>
        <c:lblAlgn val="ctr"/>
        <c:lblOffset val="100"/>
        <c:noMultiLvlLbl val="0"/>
      </c:catAx>
      <c:valAx>
        <c:axId val="1407260287"/>
        <c:scaling>
          <c:orientation val="minMax"/>
        </c:scaling>
        <c:delete val="1"/>
        <c:axPos val="l"/>
        <c:numFmt formatCode="\$#,##0.00;\-\$#,##0.00;\$#,##0.00" sourceLinked="1"/>
        <c:majorTickMark val="out"/>
        <c:minorTickMark val="none"/>
        <c:tickLblPos val="nextTo"/>
        <c:crossAx val="1143350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29</xdr:col>
      <xdr:colOff>365760</xdr:colOff>
      <xdr:row>26</xdr:row>
      <xdr:rowOff>15240</xdr:rowOff>
    </xdr:to>
    <xdr:sp macro="" textlink="">
      <xdr:nvSpPr>
        <xdr:cNvPr id="2" name="Rectangle 1">
          <a:extLst>
            <a:ext uri="{FF2B5EF4-FFF2-40B4-BE49-F238E27FC236}">
              <a16:creationId xmlns:a16="http://schemas.microsoft.com/office/drawing/2014/main" id="{3D165AE2-1CFA-F763-517A-5BC205A350AC}"/>
            </a:ext>
          </a:extLst>
        </xdr:cNvPr>
        <xdr:cNvSpPr/>
      </xdr:nvSpPr>
      <xdr:spPr>
        <a:xfrm>
          <a:off x="0" y="15240"/>
          <a:ext cx="18044160" cy="475488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38100</xdr:colOff>
      <xdr:row>0</xdr:row>
      <xdr:rowOff>0</xdr:rowOff>
    </xdr:from>
    <xdr:to>
      <xdr:col>29</xdr:col>
      <xdr:colOff>381000</xdr:colOff>
      <xdr:row>0</xdr:row>
      <xdr:rowOff>68580</xdr:rowOff>
    </xdr:to>
    <xdr:sp macro="" textlink="">
      <xdr:nvSpPr>
        <xdr:cNvPr id="3" name="Rectangle 2">
          <a:extLst>
            <a:ext uri="{FF2B5EF4-FFF2-40B4-BE49-F238E27FC236}">
              <a16:creationId xmlns:a16="http://schemas.microsoft.com/office/drawing/2014/main" id="{2A8B80E7-1E3E-00FB-10F6-B06DB7533103}"/>
            </a:ext>
          </a:extLst>
        </xdr:cNvPr>
        <xdr:cNvSpPr/>
      </xdr:nvSpPr>
      <xdr:spPr>
        <a:xfrm>
          <a:off x="38100" y="0"/>
          <a:ext cx="18021300" cy="685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60960</xdr:colOff>
      <xdr:row>25</xdr:row>
      <xdr:rowOff>36660</xdr:rowOff>
    </xdr:from>
    <xdr:to>
      <xdr:col>25</xdr:col>
      <xdr:colOff>300960</xdr:colOff>
      <xdr:row>34</xdr:row>
      <xdr:rowOff>121920</xdr:rowOff>
    </xdr:to>
    <xdr:sp macro="" textlink="">
      <xdr:nvSpPr>
        <xdr:cNvPr id="5" name="Rectangle 4">
          <a:extLst>
            <a:ext uri="{FF2B5EF4-FFF2-40B4-BE49-F238E27FC236}">
              <a16:creationId xmlns:a16="http://schemas.microsoft.com/office/drawing/2014/main" id="{6817A8CF-E5A1-49E3-B5DC-6520A97B73EE}"/>
            </a:ext>
          </a:extLst>
        </xdr:cNvPr>
        <xdr:cNvSpPr/>
      </xdr:nvSpPr>
      <xdr:spPr>
        <a:xfrm flipV="1">
          <a:off x="60960" y="4608660"/>
          <a:ext cx="15480000" cy="173118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3180</xdr:colOff>
      <xdr:row>0</xdr:row>
      <xdr:rowOff>0</xdr:rowOff>
    </xdr:from>
    <xdr:to>
      <xdr:col>0</xdr:col>
      <xdr:colOff>99060</xdr:colOff>
      <xdr:row>25</xdr:row>
      <xdr:rowOff>144780</xdr:rowOff>
    </xdr:to>
    <xdr:sp macro="" textlink="">
      <xdr:nvSpPr>
        <xdr:cNvPr id="6" name="Rectangle 5">
          <a:extLst>
            <a:ext uri="{FF2B5EF4-FFF2-40B4-BE49-F238E27FC236}">
              <a16:creationId xmlns:a16="http://schemas.microsoft.com/office/drawing/2014/main" id="{D1E00894-6044-4E26-A0B9-DB35D805331C}"/>
            </a:ext>
          </a:extLst>
        </xdr:cNvPr>
        <xdr:cNvSpPr/>
      </xdr:nvSpPr>
      <xdr:spPr>
        <a:xfrm rot="5400000">
          <a:off x="-2307270" y="2310450"/>
          <a:ext cx="4716780" cy="958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38100</xdr:rowOff>
    </xdr:from>
    <xdr:to>
      <xdr:col>3</xdr:col>
      <xdr:colOff>121920</xdr:colOff>
      <xdr:row>34</xdr:row>
      <xdr:rowOff>129540</xdr:rowOff>
    </xdr:to>
    <xdr:sp macro="" textlink="">
      <xdr:nvSpPr>
        <xdr:cNvPr id="7" name="Rectangle 6">
          <a:extLst>
            <a:ext uri="{FF2B5EF4-FFF2-40B4-BE49-F238E27FC236}">
              <a16:creationId xmlns:a16="http://schemas.microsoft.com/office/drawing/2014/main" id="{1ADCF335-284B-4D6E-BBF3-6D73A406D0B9}"/>
            </a:ext>
          </a:extLst>
        </xdr:cNvPr>
        <xdr:cNvSpPr/>
      </xdr:nvSpPr>
      <xdr:spPr>
        <a:xfrm rot="5400000">
          <a:off x="-2179320" y="2217420"/>
          <a:ext cx="6309360" cy="19507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53340</xdr:colOff>
      <xdr:row>0</xdr:row>
      <xdr:rowOff>0</xdr:rowOff>
    </xdr:from>
    <xdr:to>
      <xdr:col>29</xdr:col>
      <xdr:colOff>586740</xdr:colOff>
      <xdr:row>34</xdr:row>
      <xdr:rowOff>129540</xdr:rowOff>
    </xdr:to>
    <xdr:sp macro="" textlink="">
      <xdr:nvSpPr>
        <xdr:cNvPr id="8" name="Rectangle 7">
          <a:extLst>
            <a:ext uri="{FF2B5EF4-FFF2-40B4-BE49-F238E27FC236}">
              <a16:creationId xmlns:a16="http://schemas.microsoft.com/office/drawing/2014/main" id="{711A43D4-0B86-4B61-9273-47D3FEDE3BBF}"/>
            </a:ext>
          </a:extLst>
        </xdr:cNvPr>
        <xdr:cNvSpPr/>
      </xdr:nvSpPr>
      <xdr:spPr>
        <a:xfrm rot="5400000">
          <a:off x="12995910" y="1078230"/>
          <a:ext cx="6347460" cy="4191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152400</xdr:colOff>
      <xdr:row>4</xdr:row>
      <xdr:rowOff>167640</xdr:rowOff>
    </xdr:from>
    <xdr:to>
      <xdr:col>15</xdr:col>
      <xdr:colOff>327660</xdr:colOff>
      <xdr:row>15</xdr:row>
      <xdr:rowOff>68132</xdr:rowOff>
    </xdr:to>
    <xdr:graphicFrame macro="">
      <xdr:nvGraphicFramePr>
        <xdr:cNvPr id="9" name="Chart 8">
          <a:extLst>
            <a:ext uri="{FF2B5EF4-FFF2-40B4-BE49-F238E27FC236}">
              <a16:creationId xmlns:a16="http://schemas.microsoft.com/office/drawing/2014/main" id="{40F2E0F6-DE73-443C-970A-117CA008B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342900</xdr:colOff>
      <xdr:row>4</xdr:row>
      <xdr:rowOff>167640</xdr:rowOff>
    </xdr:from>
    <xdr:to>
      <xdr:col>23</xdr:col>
      <xdr:colOff>9720</xdr:colOff>
      <xdr:row>15</xdr:row>
      <xdr:rowOff>32720</xdr:rowOff>
    </xdr:to>
    <xdr:graphicFrame macro="">
      <xdr:nvGraphicFramePr>
        <xdr:cNvPr id="10" name="Chart 9">
          <a:extLst>
            <a:ext uri="{FF2B5EF4-FFF2-40B4-BE49-F238E27FC236}">
              <a16:creationId xmlns:a16="http://schemas.microsoft.com/office/drawing/2014/main" id="{3B454BD5-52C6-451C-9C5B-579C3D996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xdr:colOff>
      <xdr:row>8</xdr:row>
      <xdr:rowOff>0</xdr:rowOff>
    </xdr:from>
    <xdr:to>
      <xdr:col>3</xdr:col>
      <xdr:colOff>129540</xdr:colOff>
      <xdr:row>15</xdr:row>
      <xdr:rowOff>30480</xdr:rowOff>
    </xdr:to>
    <mc:AlternateContent xmlns:mc="http://schemas.openxmlformats.org/markup-compatibility/2006" xmlns:a14="http://schemas.microsoft.com/office/drawing/2010/main">
      <mc:Choice Requires="a14">
        <xdr:graphicFrame macro="">
          <xdr:nvGraphicFramePr>
            <xdr:cNvPr id="16" name="Date (Year)">
              <a:extLst>
                <a:ext uri="{FF2B5EF4-FFF2-40B4-BE49-F238E27FC236}">
                  <a16:creationId xmlns:a16="http://schemas.microsoft.com/office/drawing/2014/main" id="{26FCCB80-A414-5DE8-460A-B4F87A61159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5240" y="1463040"/>
              <a:ext cx="1943100" cy="13106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60960</xdr:colOff>
      <xdr:row>15</xdr:row>
      <xdr:rowOff>45721</xdr:rowOff>
    </xdr:from>
    <xdr:to>
      <xdr:col>15</xdr:col>
      <xdr:colOff>342676</xdr:colOff>
      <xdr:row>25</xdr:row>
      <xdr:rowOff>35859</xdr:rowOff>
    </xdr:to>
    <xdr:graphicFrame macro="">
      <xdr:nvGraphicFramePr>
        <xdr:cNvPr id="11" name="Chart 10">
          <a:extLst>
            <a:ext uri="{FF2B5EF4-FFF2-40B4-BE49-F238E27FC236}">
              <a16:creationId xmlns:a16="http://schemas.microsoft.com/office/drawing/2014/main" id="{DF31F615-C40B-4834-A6D0-CC6C787960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358140</xdr:colOff>
      <xdr:row>15</xdr:row>
      <xdr:rowOff>38100</xdr:rowOff>
    </xdr:from>
    <xdr:to>
      <xdr:col>23</xdr:col>
      <xdr:colOff>53340</xdr:colOff>
      <xdr:row>25</xdr:row>
      <xdr:rowOff>38100</xdr:rowOff>
    </xdr:to>
    <xdr:graphicFrame macro="">
      <xdr:nvGraphicFramePr>
        <xdr:cNvPr id="12" name="Chart 11">
          <a:extLst>
            <a:ext uri="{FF2B5EF4-FFF2-40B4-BE49-F238E27FC236}">
              <a16:creationId xmlns:a16="http://schemas.microsoft.com/office/drawing/2014/main" id="{8B5E2271-E610-427E-9F2B-DECCDE5B5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144780</xdr:colOff>
      <xdr:row>0</xdr:row>
      <xdr:rowOff>76201</xdr:rowOff>
    </xdr:from>
    <xdr:to>
      <xdr:col>6</xdr:col>
      <xdr:colOff>388620</xdr:colOff>
      <xdr:row>4</xdr:row>
      <xdr:rowOff>144781</xdr:rowOff>
    </xdr:to>
    <xdr:sp macro="" textlink="'Pivot Table'!$G$32">
      <xdr:nvSpPr>
        <xdr:cNvPr id="24" name="TextBox 23">
          <a:extLst>
            <a:ext uri="{FF2B5EF4-FFF2-40B4-BE49-F238E27FC236}">
              <a16:creationId xmlns:a16="http://schemas.microsoft.com/office/drawing/2014/main" id="{DBE5787D-7969-4A7D-B8DE-A1546203E48C}"/>
            </a:ext>
          </a:extLst>
        </xdr:cNvPr>
        <xdr:cNvSpPr txBox="1"/>
      </xdr:nvSpPr>
      <xdr:spPr>
        <a:xfrm>
          <a:off x="1973580" y="76201"/>
          <a:ext cx="2072640" cy="8001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E11C2DD-5EEE-494B-A95F-DA0D9EFF025D}"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Number of Cities  
5</a:t>
          </a:fld>
          <a:endParaRPr lang="en-GB" sz="2000" b="1" u="none">
            <a:effectLst>
              <a:outerShdw blurRad="63500" sx="102000" sy="102000" algn="ctr" rotWithShape="0">
                <a:prstClr val="black">
                  <a:alpha val="40000"/>
                </a:prstClr>
              </a:outerShdw>
            </a:effectLst>
          </a:endParaRPr>
        </a:p>
      </xdr:txBody>
    </xdr:sp>
    <xdr:clientData/>
  </xdr:twoCellAnchor>
  <xdr:twoCellAnchor>
    <xdr:from>
      <xdr:col>6</xdr:col>
      <xdr:colOff>404758</xdr:colOff>
      <xdr:row>0</xdr:row>
      <xdr:rowOff>76200</xdr:rowOff>
    </xdr:from>
    <xdr:to>
      <xdr:col>10</xdr:col>
      <xdr:colOff>320040</xdr:colOff>
      <xdr:row>4</xdr:row>
      <xdr:rowOff>152399</xdr:rowOff>
    </xdr:to>
    <xdr:sp macro="" textlink="'Pivot Table'!$H$32">
      <xdr:nvSpPr>
        <xdr:cNvPr id="25" name="TextBox 24">
          <a:extLst>
            <a:ext uri="{FF2B5EF4-FFF2-40B4-BE49-F238E27FC236}">
              <a16:creationId xmlns:a16="http://schemas.microsoft.com/office/drawing/2014/main" id="{0BE59C75-2F34-4620-A214-CCAD418EE3CC}"/>
            </a:ext>
          </a:extLst>
        </xdr:cNvPr>
        <xdr:cNvSpPr txBox="1"/>
      </xdr:nvSpPr>
      <xdr:spPr>
        <a:xfrm>
          <a:off x="4062358" y="76200"/>
          <a:ext cx="2353682" cy="80771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FA306-782D-43EE-8214-7E9D9C484CE9}"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Count of Buliding 
  11</a:t>
          </a:fld>
          <a:endParaRPr lang="en-GB" sz="2000" b="1">
            <a:effectLst>
              <a:outerShdw blurRad="63500" sx="102000" sy="102000" algn="ctr" rotWithShape="0">
                <a:prstClr val="black">
                  <a:alpha val="40000"/>
                </a:prstClr>
              </a:outerShdw>
            </a:effectLst>
          </a:endParaRPr>
        </a:p>
      </xdr:txBody>
    </xdr:sp>
    <xdr:clientData/>
  </xdr:twoCellAnchor>
  <xdr:twoCellAnchor>
    <xdr:from>
      <xdr:col>10</xdr:col>
      <xdr:colOff>352313</xdr:colOff>
      <xdr:row>0</xdr:row>
      <xdr:rowOff>91440</xdr:rowOff>
    </xdr:from>
    <xdr:to>
      <xdr:col>13</xdr:col>
      <xdr:colOff>579120</xdr:colOff>
      <xdr:row>4</xdr:row>
      <xdr:rowOff>152400</xdr:rowOff>
    </xdr:to>
    <xdr:sp macro="" textlink="'Pivot Table'!$K$32">
      <xdr:nvSpPr>
        <xdr:cNvPr id="26" name="TextBox 25">
          <a:extLst>
            <a:ext uri="{FF2B5EF4-FFF2-40B4-BE49-F238E27FC236}">
              <a16:creationId xmlns:a16="http://schemas.microsoft.com/office/drawing/2014/main" id="{A4D3FD46-49F0-481A-B3DB-AF5F58BCBED6}"/>
            </a:ext>
          </a:extLst>
        </xdr:cNvPr>
        <xdr:cNvSpPr txBox="1"/>
      </xdr:nvSpPr>
      <xdr:spPr>
        <a:xfrm>
          <a:off x="6448313" y="91440"/>
          <a:ext cx="2055607" cy="7924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A12CA6-7A44-4556-9B3B-9BE9928FC357}"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Total Price 
   $15842499</a:t>
          </a:fld>
          <a:endParaRPr lang="en-GB" sz="2000" b="1">
            <a:effectLst>
              <a:outerShdw blurRad="63500" sx="102000" sy="102000" algn="ctr" rotWithShape="0">
                <a:prstClr val="black">
                  <a:alpha val="40000"/>
                </a:prstClr>
              </a:outerShdw>
            </a:effectLst>
          </a:endParaRPr>
        </a:p>
      </xdr:txBody>
    </xdr:sp>
    <xdr:clientData/>
  </xdr:twoCellAnchor>
  <xdr:twoCellAnchor>
    <xdr:from>
      <xdr:col>13</xdr:col>
      <xdr:colOff>586741</xdr:colOff>
      <xdr:row>0</xdr:row>
      <xdr:rowOff>76200</xdr:rowOff>
    </xdr:from>
    <xdr:to>
      <xdr:col>17</xdr:col>
      <xdr:colOff>167641</xdr:colOff>
      <xdr:row>4</xdr:row>
      <xdr:rowOff>152400</xdr:rowOff>
    </xdr:to>
    <xdr:sp macro="" textlink="'Pivot Table'!$I$32">
      <xdr:nvSpPr>
        <xdr:cNvPr id="27" name="TextBox 26">
          <a:extLst>
            <a:ext uri="{FF2B5EF4-FFF2-40B4-BE49-F238E27FC236}">
              <a16:creationId xmlns:a16="http://schemas.microsoft.com/office/drawing/2014/main" id="{9C9A82F9-FD6B-4424-865B-9FE5C3A7FB5D}"/>
            </a:ext>
          </a:extLst>
        </xdr:cNvPr>
        <xdr:cNvSpPr txBox="1"/>
      </xdr:nvSpPr>
      <xdr:spPr>
        <a:xfrm>
          <a:off x="8511541" y="76200"/>
          <a:ext cx="2019300" cy="8077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63563F-2405-4C56-B554-C5E9D9CB411A}"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 Water Cost  
  $10806192</a:t>
          </a:fld>
          <a:endParaRPr lang="en-GB" sz="2000" b="1">
            <a:effectLst>
              <a:outerShdw blurRad="63500" sx="102000" sy="102000" algn="ctr" rotWithShape="0">
                <a:prstClr val="black">
                  <a:alpha val="40000"/>
                </a:prstClr>
              </a:outerShdw>
            </a:effectLst>
          </a:endParaRPr>
        </a:p>
      </xdr:txBody>
    </xdr:sp>
    <xdr:clientData/>
  </xdr:twoCellAnchor>
  <xdr:twoCellAnchor>
    <xdr:from>
      <xdr:col>17</xdr:col>
      <xdr:colOff>192743</xdr:colOff>
      <xdr:row>0</xdr:row>
      <xdr:rowOff>91440</xdr:rowOff>
    </xdr:from>
    <xdr:to>
      <xdr:col>20</xdr:col>
      <xdr:colOff>38100</xdr:colOff>
      <xdr:row>4</xdr:row>
      <xdr:rowOff>155987</xdr:rowOff>
    </xdr:to>
    <xdr:sp macro="" textlink="'Pivot Table'!$M$33">
      <xdr:nvSpPr>
        <xdr:cNvPr id="28" name="TextBox 27">
          <a:extLst>
            <a:ext uri="{FF2B5EF4-FFF2-40B4-BE49-F238E27FC236}">
              <a16:creationId xmlns:a16="http://schemas.microsoft.com/office/drawing/2014/main" id="{00FAFD93-6FFF-44BA-9A76-27D155B8C0CA}"/>
            </a:ext>
          </a:extLst>
        </xdr:cNvPr>
        <xdr:cNvSpPr txBox="1"/>
      </xdr:nvSpPr>
      <xdr:spPr>
        <a:xfrm>
          <a:off x="10555943" y="91440"/>
          <a:ext cx="1674157" cy="79606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FE5D5D-7418-482F-8CA9-D4FC89DA5517}"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Gas Cost  
  $3011011</a:t>
          </a:fld>
          <a:endParaRPr lang="en-GB" sz="2000" b="1">
            <a:effectLst>
              <a:outerShdw blurRad="63500" sx="102000" sy="102000" algn="ctr" rotWithShape="0">
                <a:prstClr val="black">
                  <a:alpha val="40000"/>
                </a:prstClr>
              </a:outerShdw>
            </a:effectLst>
          </a:endParaRPr>
        </a:p>
      </xdr:txBody>
    </xdr:sp>
    <xdr:clientData/>
  </xdr:twoCellAnchor>
  <xdr:twoCellAnchor>
    <xdr:from>
      <xdr:col>20</xdr:col>
      <xdr:colOff>38100</xdr:colOff>
      <xdr:row>0</xdr:row>
      <xdr:rowOff>83820</xdr:rowOff>
    </xdr:from>
    <xdr:to>
      <xdr:col>23</xdr:col>
      <xdr:colOff>20173</xdr:colOff>
      <xdr:row>4</xdr:row>
      <xdr:rowOff>142092</xdr:rowOff>
    </xdr:to>
    <xdr:sp macro="" textlink="'Pivot Table'!$I$41">
      <xdr:nvSpPr>
        <xdr:cNvPr id="29" name="TextBox 28">
          <a:extLst>
            <a:ext uri="{FF2B5EF4-FFF2-40B4-BE49-F238E27FC236}">
              <a16:creationId xmlns:a16="http://schemas.microsoft.com/office/drawing/2014/main" id="{64A781FB-9224-4A69-8543-A95B70C8C890}"/>
            </a:ext>
          </a:extLst>
        </xdr:cNvPr>
        <xdr:cNvSpPr txBox="1"/>
      </xdr:nvSpPr>
      <xdr:spPr>
        <a:xfrm>
          <a:off x="12230100" y="83820"/>
          <a:ext cx="1810873" cy="78979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2A2CBB9-190B-4F7F-8CA0-087AE8897A5E}" type="TxLink">
            <a:rPr lang="en-US" sz="1600" b="1" i="0" u="none" strike="noStrike">
              <a:solidFill>
                <a:srgbClr val="000000"/>
              </a:solidFill>
              <a:effectLst>
                <a:outerShdw blurRad="63500" sx="102000" sy="102000" algn="ctr" rotWithShape="0">
                  <a:prstClr val="black">
                    <a:alpha val="40000"/>
                  </a:prstClr>
                </a:outerShdw>
              </a:effectLst>
              <a:latin typeface="Aptos Narrow"/>
            </a:rPr>
            <a:pPr algn="ctr"/>
            <a:t>Electricity Cost 
  $2025296</a:t>
          </a:fld>
          <a:endParaRPr lang="en-GB" sz="2000" b="1">
            <a:effectLst>
              <a:outerShdw blurRad="63500" sx="102000" sy="102000" algn="ctr" rotWithShape="0">
                <a:prstClr val="black">
                  <a:alpha val="40000"/>
                </a:prstClr>
              </a:outerShdw>
            </a:effectLst>
          </a:endParaRPr>
        </a:p>
      </xdr:txBody>
    </xdr:sp>
    <xdr:clientData/>
  </xdr:twoCellAnchor>
  <xdr:twoCellAnchor>
    <xdr:from>
      <xdr:col>3</xdr:col>
      <xdr:colOff>137160</xdr:colOff>
      <xdr:row>15</xdr:row>
      <xdr:rowOff>53340</xdr:rowOff>
    </xdr:from>
    <xdr:to>
      <xdr:col>10</xdr:col>
      <xdr:colOff>68580</xdr:colOff>
      <xdr:row>25</xdr:row>
      <xdr:rowOff>30480</xdr:rowOff>
    </xdr:to>
    <xdr:graphicFrame macro="">
      <xdr:nvGraphicFramePr>
        <xdr:cNvPr id="30" name="Chart 29">
          <a:extLst>
            <a:ext uri="{FF2B5EF4-FFF2-40B4-BE49-F238E27FC236}">
              <a16:creationId xmlns:a16="http://schemas.microsoft.com/office/drawing/2014/main" id="{6045B7EC-8A9B-4577-932C-F146F6B593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0</xdr:row>
      <xdr:rowOff>22860</xdr:rowOff>
    </xdr:from>
    <xdr:to>
      <xdr:col>3</xdr:col>
      <xdr:colOff>121920</xdr:colOff>
      <xdr:row>7</xdr:row>
      <xdr:rowOff>175260</xdr:rowOff>
    </xdr:to>
    <xdr:sp macro="" textlink="">
      <xdr:nvSpPr>
        <xdr:cNvPr id="31" name="TextBox 30">
          <a:extLst>
            <a:ext uri="{FF2B5EF4-FFF2-40B4-BE49-F238E27FC236}">
              <a16:creationId xmlns:a16="http://schemas.microsoft.com/office/drawing/2014/main" id="{FCA990AA-4484-BAC2-0D5B-59C222CD0B02}"/>
            </a:ext>
          </a:extLst>
        </xdr:cNvPr>
        <xdr:cNvSpPr txBox="1"/>
      </xdr:nvSpPr>
      <xdr:spPr>
        <a:xfrm>
          <a:off x="22860" y="22860"/>
          <a:ext cx="1927860" cy="14325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b="1">
              <a:solidFill>
                <a:schemeClr val="bg1"/>
              </a:solidFill>
            </a:rPr>
            <a:t>Energy</a:t>
          </a:r>
          <a:r>
            <a:rPr lang="en-GB" sz="2000" b="1" baseline="0">
              <a:solidFill>
                <a:schemeClr val="bg1"/>
              </a:solidFill>
            </a:rPr>
            <a:t>  Consumption Dashboard</a:t>
          </a:r>
          <a:endParaRPr lang="en-GB" sz="2000" b="1">
            <a:solidFill>
              <a:schemeClr val="bg1"/>
            </a:solidFill>
          </a:endParaRPr>
        </a:p>
      </xdr:txBody>
    </xdr:sp>
    <xdr:clientData/>
  </xdr:twoCellAnchor>
  <xdr:twoCellAnchor editAs="oneCell">
    <xdr:from>
      <xdr:col>0</xdr:col>
      <xdr:colOff>22860</xdr:colOff>
      <xdr:row>15</xdr:row>
      <xdr:rowOff>167639</xdr:rowOff>
    </xdr:from>
    <xdr:to>
      <xdr:col>3</xdr:col>
      <xdr:colOff>129540</xdr:colOff>
      <xdr:row>21</xdr:row>
      <xdr:rowOff>60960</xdr:rowOff>
    </xdr:to>
    <mc:AlternateContent xmlns:mc="http://schemas.openxmlformats.org/markup-compatibility/2006" xmlns:a14="http://schemas.microsoft.com/office/drawing/2010/main">
      <mc:Choice Requires="a14">
        <xdr:graphicFrame macro="">
          <xdr:nvGraphicFramePr>
            <xdr:cNvPr id="32" name="Energy Type">
              <a:extLst>
                <a:ext uri="{FF2B5EF4-FFF2-40B4-BE49-F238E27FC236}">
                  <a16:creationId xmlns:a16="http://schemas.microsoft.com/office/drawing/2014/main" id="{17070B21-1C06-FF3C-7675-3FC4D23A22DD}"/>
                </a:ext>
              </a:extLst>
            </xdr:cNvPr>
            <xdr:cNvGraphicFramePr/>
          </xdr:nvGraphicFramePr>
          <xdr:xfrm>
            <a:off x="0" y="0"/>
            <a:ext cx="0" cy="0"/>
          </xdr:xfrm>
          <a:graphic>
            <a:graphicData uri="http://schemas.microsoft.com/office/drawing/2010/slicer">
              <sle:slicer xmlns:sle="http://schemas.microsoft.com/office/drawing/2010/slicer" name="Energy Type"/>
            </a:graphicData>
          </a:graphic>
        </xdr:graphicFrame>
      </mc:Choice>
      <mc:Fallback xmlns="">
        <xdr:sp macro="" textlink="">
          <xdr:nvSpPr>
            <xdr:cNvPr id="0" name=""/>
            <xdr:cNvSpPr>
              <a:spLocks noTextEdit="1"/>
            </xdr:cNvSpPr>
          </xdr:nvSpPr>
          <xdr:spPr>
            <a:xfrm>
              <a:off x="22860" y="2910839"/>
              <a:ext cx="1935480" cy="9906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874271180553" backgroundQuery="1" createdVersion="8" refreshedVersion="8" minRefreshableVersion="3" recordCount="0" supportSubquery="1" supportAdvancedDrill="1" xr:uid="{9D861EE1-B095-457B-9AED-F6905F1100C6}">
  <cacheSource type="external" connectionId="4"/>
  <cacheFields count="1">
    <cacheField name="[Measures].[Total Price]" caption="Total Price" numFmtId="0" hierarchy="19" level="32767"/>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0"/>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874274189817" backgroundQuery="1" createdVersion="8" refreshedVersion="8" minRefreshableVersion="3" recordCount="0" supportSubquery="1" supportAdvancedDrill="1" xr:uid="{FDBBD7C9-7113-4795-AEE2-670DD21A881B}">
  <cacheSource type="external" connectionId="4"/>
  <cacheFields count="2">
    <cacheField name="[Measures].[Cost Price]" caption="Cost Price" numFmtId="0" hierarchy="21" level="32767"/>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oneField="1">
      <fieldsUsage count="1">
        <fieldUsage x="0"/>
      </fieldsUsage>
    </cacheHierarchy>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874275462964" backgroundQuery="1" createdVersion="8" refreshedVersion="8" minRefreshableVersion="3" recordCount="0" supportSubquery="1" supportAdvancedDrill="1" xr:uid="{77AE22B6-675F-4812-A36F-4A046BE9AD20}">
  <cacheSource type="external" connectionId="4"/>
  <cacheFields count="2">
    <cacheField name="[Measures].[Cost Price]" caption="Cost Price" numFmtId="0" hierarchy="21" level="32767"/>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oneField="1">
      <fieldsUsage count="1">
        <fieldUsage x="0"/>
      </fieldsUsage>
    </cacheHierarchy>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874279050928" backgroundQuery="1" createdVersion="8" refreshedVersion="8" minRefreshableVersion="3" recordCount="0" supportSubquery="1" supportAdvancedDrill="1" xr:uid="{30D1CBFF-CE30-4768-AD5E-DC2D90B89BD5}">
  <cacheSource type="external" connectionId="4"/>
  <cacheFields count="2">
    <cacheField name="[Measures].[Count of Buliding]" caption="Count of Buliding" numFmtId="0" hierarchy="22" level="32767"/>
    <cacheField name="[Measures].[Count of Cities]" caption="Count of Cities" numFmtId="0" hierarchy="18" level="32767"/>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oneField="1">
      <fieldsUsage count="1">
        <fieldUsage x="1"/>
      </fieldsUsage>
    </cacheHierarchy>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oneField="1">
      <fieldsUsage count="1">
        <fieldUsage x="0"/>
      </fieldsUsage>
    </cacheHierarchy>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7.959911342594" backgroundQuery="1" createdVersion="8" refreshedVersion="8" minRefreshableVersion="3" recordCount="0" supportSubquery="1" supportAdvancedDrill="1" xr:uid="{913B931D-6AF1-496A-9684-08155F5DCD9B}">
  <cacheSource type="external" connectionId="4"/>
  <cacheFields count="2">
    <cacheField name="[Measures].[Cost Price]" caption="Cost Price" numFmtId="0" hierarchy="21" level="32767"/>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1"/>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oneField="1">
      <fieldsUsage count="1">
        <fieldUsage x="0"/>
      </fieldsUsage>
    </cacheHierarchy>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9.097172800924" backgroundQuery="1" createdVersion="8" refreshedVersion="8" minRefreshableVersion="3" recordCount="0" supportSubquery="1" supportAdvancedDrill="1" xr:uid="{2AEB73C8-4BE3-4BE0-A796-DD6571060B6F}">
  <cacheSource type="external" connectionId="4"/>
  <cacheFields count="4">
    <cacheField name="[Energy Consumptions].[Date (Month)].[Date (Month)]" caption="Date (Month)" numFmtId="0" hierarchy="10" level="1">
      <sharedItems count="12">
        <s v="Jan"/>
        <s v="Feb"/>
        <s v="Mar"/>
        <s v="Apr"/>
        <s v="May"/>
        <s v="Jun"/>
        <s v="Jul"/>
        <s v="Aug"/>
        <s v="Sep"/>
        <s v="Oct"/>
        <s v="Nov"/>
        <s v="Dec"/>
      </sharedItems>
    </cacheField>
    <cacheField name="[Energy Consumptions].[Date (Year)].[Date (Year)]" caption="Date (Year)" numFmtId="0" hierarchy="8" level="1">
      <sharedItems count="1">
        <s v="2018"/>
      </sharedItems>
    </cacheField>
    <cacheField name="[Measures].[Total Price]" caption="Total Price" numFmtId="0" hierarchy="19" level="32767"/>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Rate]" caption="Rate" attribute="1" defaultMemberUniqueName="[Energy Consumptions].[Rate].[All]" allUniqueName="[Energy Consumptions].[Rate].[All]" dimensionUniqueName="[Energy Consumptions]" displayFolder="" count="2" memberValueDatatype="130"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Value]" caption="Value" attribute="1" defaultMemberUniqueName="[Energy Consumptions].[Value].[All]" allUniqueName="[Energy Consumptions].[Value].[All]" dimensionUniqueName="[Energy Consumptions]" displayFolder="" count="2"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2" memberValueDatatype="130" unbalanced="0"/>
    <cacheHierarchy uniqueName="[Rates].[Rate]" caption="Rate" attribute="1" defaultMemberUniqueName="[Rates].[Rate].[All]" allUniqueName="[Rates].[Rate].[All]" dimensionUniqueName="[Rates]" displayFolder="" count="2"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2"/>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9.097173263886" backgroundQuery="1" createdVersion="8" refreshedVersion="8" minRefreshableVersion="3" recordCount="0" supportSubquery="1" supportAdvancedDrill="1" xr:uid="{DA35C44F-A8A6-4B75-A117-20106172E286}">
  <cacheSource type="external" connectionId="4"/>
  <cacheFields count="4">
    <cacheField name="[Energy Consumptions].[Date (Month)].[Date (Month)]" caption="Date (Month)" numFmtId="0" hierarchy="10" level="1">
      <sharedItems count="12">
        <s v="Jan"/>
        <s v="Feb"/>
        <s v="Mar"/>
        <s v="Apr"/>
        <s v="May"/>
        <s v="Jun"/>
        <s v="Jul"/>
        <s v="Aug"/>
        <s v="Sep"/>
        <s v="Oct"/>
        <s v="Nov"/>
        <s v="Dec"/>
      </sharedItems>
    </cacheField>
    <cacheField name="[Energy Consumptions].[Date (Year)].[Date (Year)]" caption="Date (Year)" numFmtId="0" hierarchy="8" level="1">
      <sharedItems count="1">
        <s v="2017"/>
      </sharedItems>
    </cacheField>
    <cacheField name="[Measures].[Total Price]" caption="Total Price" numFmtId="0" hierarchy="19" level="32767"/>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1"/>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fieldsUsage count="2">
        <fieldUsage x="-1"/>
        <fieldUsage x="0"/>
      </fieldsUsage>
    </cacheHierarchy>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2"/>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9.097173726848" backgroundQuery="1" createdVersion="8" refreshedVersion="8" minRefreshableVersion="3" recordCount="0" supportSubquery="1" supportAdvancedDrill="1" xr:uid="{ED8F0989-C9E4-4922-81E6-2583A70B640B}">
  <cacheSource type="external" connectionId="4"/>
  <cacheFields count="4">
    <cacheField name="[Building Master].[Building].[Building]" caption="Building" numFmtId="0" level="1">
      <sharedItems count="5">
        <s v="B1000"/>
        <s v="B1003"/>
        <s v="B1005"/>
        <s v="B1006"/>
        <s v="B1008"/>
      </sharedItems>
    </cacheField>
    <cacheField name="[Measures].[Total Price]" caption="Total Price" numFmtId="0" hierarchy="19" level="32767"/>
    <cacheField name="[Energy Consumptions].[Date (Year)].[Date (Year)]" caption="Date (Year)" numFmtId="0" hierarchy="8" level="1">
      <sharedItems containsSemiMixedTypes="0" containsNonDate="0" containsString="0"/>
    </cacheField>
    <cacheField name="[Rates].[Energy Type].[Energy Type]" caption="Energy Type" numFmtId="0" hierarchy="13"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2" memberValueDatatype="130" unbalanced="0">
      <fieldsUsage count="2">
        <fieldUsage x="-1"/>
        <fieldUsage x="0"/>
      </fieldsUsage>
    </cacheHierarchy>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3"/>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9.097174189817" backgroundQuery="1" createdVersion="8" refreshedVersion="8" minRefreshableVersion="3" recordCount="0" supportSubquery="1" supportAdvancedDrill="1" xr:uid="{AC6E1220-BDA8-464E-AA29-7EEAED704947}">
  <cacheSource type="external" connectionId="4"/>
  <cacheFields count="4">
    <cacheField name="[Building Master].[City].[City]" caption="City" numFmtId="0" hierarchy="1" level="1">
      <sharedItems count="5">
        <s v="Chicago"/>
        <s v="Houston"/>
        <s v="Los Angeles"/>
        <s v="New York"/>
        <s v="Phoenix"/>
      </sharedItems>
    </cacheField>
    <cacheField name="[Measures].[Total Price]" caption="Total Price" numFmtId="0" hierarchy="19" level="32767"/>
    <cacheField name="[Rates].[Energy Type].[Energy Type]" caption="Energy Type" numFmtId="0" hierarchy="13" level="1">
      <sharedItems containsSemiMixedTypes="0" containsNonDate="0" containsString="0"/>
    </cacheField>
    <cacheField name="[Energy Consumptions].[Date (Year)].[Date (Year)]" caption="Date (Year)" numFmtId="0" hierarchy="8"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2" memberValueDatatype="130" unbalanced="0"/>
    <cacheHierarchy uniqueName="[Building Master].[City]" caption="City" attribute="1" defaultMemberUniqueName="[Building Master].[City].[All]" allUniqueName="[Building Master].[City].[All]" dimensionUniqueName="[Building Master]" displayFolder="" count="2" memberValueDatatype="130" unbalanced="0">
      <fieldsUsage count="2">
        <fieldUsage x="-1"/>
        <fieldUsage x="0"/>
      </fieldsUsage>
    </cacheHierarchy>
    <cacheHierarchy uniqueName="[Building Master].[Country]" caption="Country" attribute="1" defaultMemberUniqueName="[Building Master].[Country].[All]" allUniqueName="[Building Master].[Country].[All]" dimensionUniqueName="[Building Master]" displayFolder="" count="2"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Rate]" caption="Rate" attribute="1" defaultMemberUniqueName="[Energy Consumptions].[Rate].[All]" allUniqueName="[Energy Consumptions].[Rate].[All]" dimensionUniqueName="[Energy Consumptions]" displayFolder="" count="2" memberValueDatatype="130" unbalanced="0"/>
    <cacheHierarchy uniqueName="[Energy Consumptions].[Building]" caption="Building" attribute="1" defaultMemberUniqueName="[Energy Consumptions].[Building].[All]" allUniqueName="[Energy Consumptions].[Building].[All]" dimensionUniqueName="[Energy Consumptions]" displayFolder="" count="2" memberValueDatatype="130" unbalanced="0"/>
    <cacheHierarchy uniqueName="[Energy Consumptions].[Attribute]" caption="Attribute" attribute="1" defaultMemberUniqueName="[Energy Consumptions].[Attribute].[All]" allUniqueName="[Energy Consumptions].[Attribute].[All]" dimensionUniqueName="[Energy Consumptions]" displayFolder="" count="2" memberValueDatatype="130" unbalanced="0"/>
    <cacheHierarchy uniqueName="[Energy Consumptions].[Value]" caption="Value" attribute="1" defaultMemberUniqueName="[Energy Consumptions].[Value].[All]" allUniqueName="[Energy Consumptions].[Value].[All]" dimensionUniqueName="[Energy Consumptions]" displayFolder="" count="2"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3"/>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2"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2" memberValueDatatype="130" unbalanced="0"/>
    <cacheHierarchy uniqueName="[Rates].[Year]" caption="Year" attribute="1" defaultMemberUniqueName="[Rates].[Year].[All]" allUniqueName="[Rates].[Year].[All]" dimensionUniqueName="[Rates]" displayFolder="" count="2" memberValueDatatype="130" unbalanced="0"/>
    <cacheHierarchy uniqueName="[Rates].[Rate]" caption="Rate" attribute="1" defaultMemberUniqueName="[Rates].[Rate].[All]" allUniqueName="[Rates].[Rate].[All]" dimensionUniqueName="[Rates]" displayFolder="" count="2"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2"/>
      </fieldsUsage>
    </cacheHierarchy>
    <cacheHierarchy uniqueName="[Rates].[Price Per Unit]" caption="Price Per Unit" attribute="1" defaultMemberUniqueName="[Rates].[Price Per Unit].[All]" allUniqueName="[Rates].[Price Per Unit].[All]" dimensionUniqueName="[Rates]" displayFolder="" count="2"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2"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9.097174537033" backgroundQuery="1" createdVersion="8" refreshedVersion="8" minRefreshableVersion="3" recordCount="0" supportSubquery="1" supportAdvancedDrill="1" xr:uid="{B31C3D93-0AFA-4B8F-AC4C-0EE2AB8E9208}">
  <cacheSource type="external" connectionId="4"/>
  <cacheFields count="3">
    <cacheField name="[Rates].[Energy Type].[Energy Type]" caption="Energy Type" numFmtId="0" hierarchy="13" level="1">
      <sharedItems count="3">
        <s v="Electricity"/>
        <s v="Gas"/>
        <s v="Water"/>
      </sharedItems>
    </cacheField>
    <cacheField name="[Measures].[Total Price]" caption="Total Price" numFmtId="0" hierarchy="19" level="32767"/>
    <cacheField name="[Energy Consumptions].[Date (Year)].[Date (Year)]" caption="Date (Year)" numFmtId="0" hierarchy="8" level="1">
      <sharedItems containsSemiMixedTypes="0" containsNonDate="0" containsString="0"/>
    </cacheField>
  </cacheFields>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fieldsUsage count="2">
        <fieldUsage x="-1"/>
        <fieldUsage x="2"/>
      </fieldsUsage>
    </cacheHierarchy>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fieldsUsage count="2">
        <fieldUsage x="-1"/>
        <fieldUsage x="0"/>
      </fieldsUsage>
    </cacheHierarchy>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oneField="1">
      <fieldsUsage count="1">
        <fieldUsage x="1"/>
      </fieldsUsage>
    </cacheHierarchy>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dimensions count="4">
    <dimension name="Building Master" uniqueName="[Building Master]" caption="Building Master"/>
    <dimension name="Energy Consumptions" uniqueName="[Energy Consumptions]" caption="Energy Consumptions"/>
    <dimension measure="1" name="Measures" uniqueName="[Measures]" caption="Measures"/>
    <dimension name="Rates" uniqueName="[Rates]" caption="Rates"/>
  </dimensions>
  <measureGroups count="3">
    <measureGroup name="Building Master" caption="Building Master"/>
    <measureGroup name="Energy Consumptions" caption="Energy Consumptions"/>
    <measureGroup name="Rates" caption="Rates"/>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90032291667" backgroundQuery="1" createdVersion="3" refreshedVersion="8" minRefreshableVersion="3" recordCount="0" supportSubquery="1" supportAdvancedDrill="1" xr:uid="{14317B88-641E-41C3-9076-C32837065889}">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2"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2"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0" memberValueDatatype="130" unbalanced="0"/>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097747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ossef haytham" refreshedDate="46056.914051504631" backgroundQuery="1" createdVersion="3" refreshedVersion="8" minRefreshableVersion="3" recordCount="0" supportSubquery="1" supportAdvancedDrill="1" xr:uid="{E22FC24F-4589-4B22-B2E8-4C8A542F40C0}">
  <cacheSource type="external" connectionId="4">
    <extLst>
      <ext xmlns:x14="http://schemas.microsoft.com/office/spreadsheetml/2009/9/main" uri="{F057638F-6D5F-4e77-A914-E7F072B9BCA8}">
        <x14:sourceConnection name="ThisWorkbookDataModel"/>
      </ext>
    </extLst>
  </cacheSource>
  <cacheFields count="0"/>
  <cacheHierarchies count="27">
    <cacheHierarchy uniqueName="[Building Master].[Building]" caption="Building" attribute="1" defaultMemberUniqueName="[Building Master].[Building].[All]" allUniqueName="[Building Master].[Building].[All]" dimensionUniqueName="[Building Master]" displayFolder="" count="0" memberValueDatatype="130" unbalanced="0"/>
    <cacheHierarchy uniqueName="[Building Master].[City]" caption="City" attribute="1" defaultMemberUniqueName="[Building Master].[City].[All]" allUniqueName="[Building Master].[City].[All]" dimensionUniqueName="[Building Master]" displayFolder="" count="0" memberValueDatatype="130" unbalanced="0"/>
    <cacheHierarchy uniqueName="[Building Master].[Country]" caption="Country" attribute="1" defaultMemberUniqueName="[Building Master].[Country].[All]" allUniqueName="[Building Master].[Country].[All]" dimensionUniqueName="[Building Master]" displayFolder="" count="0" memberValueDatatype="130" unbalanced="0"/>
    <cacheHierarchy uniqueName="[Energy Consumptions].[Date]" caption="Date" attribute="1" time="1" defaultMemberUniqueName="[Energy Consumptions].[Date].[All]" allUniqueName="[Energy Consumptions].[Date].[All]" dimensionUniqueName="[Energy Consumptions]" displayFolder="" count="0" memberValueDatatype="7" unbalanced="0"/>
    <cacheHierarchy uniqueName="[Energy Consumptions].[Rate]" caption="Rate" attribute="1" defaultMemberUniqueName="[Energy Consumptions].[Rate].[All]" allUniqueName="[Energy Consumptions].[Rate].[All]" dimensionUniqueName="[Energy Consumptions]" displayFolder="" count="0" memberValueDatatype="130" unbalanced="0"/>
    <cacheHierarchy uniqueName="[Energy Consumptions].[Building]" caption="Building" attribute="1" defaultMemberUniqueName="[Energy Consumptions].[Building].[All]" allUniqueName="[Energy Consumptions].[Building].[All]" dimensionUniqueName="[Energy Consumptions]" displayFolder="" count="0" memberValueDatatype="130" unbalanced="0"/>
    <cacheHierarchy uniqueName="[Energy Consumptions].[Attribute]" caption="Attribute" attribute="1" defaultMemberUniqueName="[Energy Consumptions].[Attribute].[All]" allUniqueName="[Energy Consumptions].[Attribute].[All]" dimensionUniqueName="[Energy Consumptions]" displayFolder="" count="0" memberValueDatatype="130" unbalanced="0"/>
    <cacheHierarchy uniqueName="[Energy Consumptions].[Value]" caption="Value" attribute="1" defaultMemberUniqueName="[Energy Consumptions].[Value].[All]" allUniqueName="[Energy Consumptions].[Value].[All]" dimensionUniqueName="[Energy Consumptions]" displayFolder="" count="0" memberValueDatatype="20" unbalanced="0"/>
    <cacheHierarchy uniqueName="[Energy Consumptions].[Date (Year)]" caption="Date (Year)" attribute="1" defaultMemberUniqueName="[Energy Consumptions].[Date (Year)].[All]" allUniqueName="[Energy Consumptions].[Date (Year)].[All]" dimensionUniqueName="[Energy Consumptions]" displayFolder="" count="0" memberValueDatatype="130" unbalanced="0"/>
    <cacheHierarchy uniqueName="[Energy Consumptions].[Date (Quarter)]" caption="Date (Quarter)" attribute="1" defaultMemberUniqueName="[Energy Consumptions].[Date (Quarter)].[All]" allUniqueName="[Energy Consumptions].[Date (Quarter)].[All]" dimensionUniqueName="[Energy Consumptions]" displayFolder="" count="0" memberValueDatatype="130" unbalanced="0"/>
    <cacheHierarchy uniqueName="[Energy Consumptions].[Date (Month)]" caption="Date (Month)" attribute="1" defaultMemberUniqueName="[Energy Consumptions].[Date (Month)].[All]" allUniqueName="[Energy Consumptions].[Date (Month)].[All]" dimensionUniqueName="[Energy Consumptions]" displayFolder="" count="0" memberValueDatatype="130" unbalanced="0"/>
    <cacheHierarchy uniqueName="[Rates].[Year]" caption="Year" attribute="1" defaultMemberUniqueName="[Rates].[Year].[All]" allUniqueName="[Rates].[Year].[All]" dimensionUniqueName="[Rates]" displayFolder="" count="0" memberValueDatatype="130" unbalanced="0"/>
    <cacheHierarchy uniqueName="[Rates].[Rate]" caption="Rate" attribute="1" defaultMemberUniqueName="[Rates].[Rate].[All]" allUniqueName="[Rates].[Rate].[All]" dimensionUniqueName="[Rates]" displayFolder="" count="0" memberValueDatatype="130" unbalanced="0"/>
    <cacheHierarchy uniqueName="[Rates].[Energy Type]" caption="Energy Type" attribute="1" defaultMemberUniqueName="[Rates].[Energy Type].[All]" allUniqueName="[Rates].[Energy Type].[All]" dimensionUniqueName="[Rates]" displayFolder="" count="2" memberValueDatatype="130" unbalanced="0"/>
    <cacheHierarchy uniqueName="[Rates].[Price Per Unit]" caption="Price Per Unit" attribute="1" defaultMemberUniqueName="[Rates].[Price Per Unit].[All]" allUniqueName="[Rates].[Price Per Unit].[All]" dimensionUniqueName="[Rates]" displayFolder="" count="0" memberValueDatatype="130" unbalanced="0"/>
    <cacheHierarchy uniqueName="[Energy Consumptions].[Date (Month Index)]" caption="Date (Month Index)" attribute="1" defaultMemberUniqueName="[Energy Consumptions].[Date (Month Index)].[All]" allUniqueName="[Energy Consumptions].[Date (Month Index)].[All]" dimensionUniqueName="[Energy Consumptions]" displayFolder="" count="0" memberValueDatatype="20" unbalanced="0" hidden="1"/>
    <cacheHierarchy uniqueName="[Measures].[Count of Country]" caption="Count of Country" measure="1" displayFolder="" measureGroup="Building Master" count="0">
      <extLst>
        <ext xmlns:x15="http://schemas.microsoft.com/office/spreadsheetml/2010/11/main" uri="{B97F6D7D-B522-45F9-BDA1-12C45D357490}">
          <x15:cacheHierarchy aggregatedColumn="2"/>
        </ext>
      </extLst>
    </cacheHierarchy>
    <cacheHierarchy uniqueName="[Measures].[Count of City 2]" caption="Count of City 2" measure="1" displayFolder="" measureGroup="Building Master" count="0">
      <extLst>
        <ext xmlns:x15="http://schemas.microsoft.com/office/spreadsheetml/2010/11/main" uri="{B97F6D7D-B522-45F9-BDA1-12C45D357490}">
          <x15:cacheHierarchy aggregatedColumn="1"/>
        </ext>
      </extLst>
    </cacheHierarchy>
    <cacheHierarchy uniqueName="[Measures].[Count of Cities]" caption="Count of Cities" measure="1" displayFolder="" measureGroup="Building Master" count="0"/>
    <cacheHierarchy uniqueName="[Measures].[Total Price]" caption="Total Price" measure="1" displayFolder="" measureGroup="Energy Consumptions" count="0"/>
    <cacheHierarchy uniqueName="[Measures].[Median Price]" caption="Median Price" measure="1" displayFolder="" measureGroup="Rates" count="0"/>
    <cacheHierarchy uniqueName="[Measures].[Cost Price]" caption="Cost Price" measure="1" displayFolder="" measureGroup="Energy Consumptions" count="0"/>
    <cacheHierarchy uniqueName="[Measures].[Count of Buliding]" caption="Count of Buliding" measure="1" displayFolder="" measureGroup="Building Master" count="0"/>
    <cacheHierarchy uniqueName="[Measures].[__XL_Count Rates]" caption="__XL_Count Rates" measure="1" displayFolder="" measureGroup="Rates" count="0" hidden="1"/>
    <cacheHierarchy uniqueName="[Measures].[__XL_Count Building Master]" caption="__XL_Count Building Master" measure="1" displayFolder="" measureGroup="Building Master" count="0" hidden="1"/>
    <cacheHierarchy uniqueName="[Measures].[__XL_Count Energy Consumptions]" caption="__XL_Count Energy Consumptions" measure="1" displayFolder="" measureGroup="Energy Consumption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767442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0B6162-FF70-49EF-B355-3AD664164381}" name="PivotTable2" cacheId="5" applyNumberFormats="0" applyBorderFormats="0" applyFontFormats="0" applyPatternFormats="0" applyAlignmentFormats="0" applyWidthHeightFormats="1" dataCaption="Values" tag="69ef6338-7a5b-4c84-a32a-7d52edc57a69" updatedVersion="8" minRefreshableVersion="3" useAutoFormatting="1" subtotalHiddenItems="1" itemPrintTitles="1" createdVersion="8" indent="0" outline="1" outlineData="1" multipleFieldFilters="0" chartFormat="21">
  <location ref="A1:B15" firstHeaderRow="1"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Fields count="2">
    <field x="1"/>
    <field x="0"/>
  </rowFields>
  <rowItems count="14">
    <i>
      <x/>
    </i>
    <i r="1">
      <x/>
    </i>
    <i r="1">
      <x v="1"/>
    </i>
    <i r="1">
      <x v="2"/>
    </i>
    <i r="1">
      <x v="3"/>
    </i>
    <i r="1">
      <x v="4"/>
    </i>
    <i r="1">
      <x v="5"/>
    </i>
    <i r="1">
      <x v="6"/>
    </i>
    <i r="1">
      <x v="7"/>
    </i>
    <i r="1">
      <x v="8"/>
    </i>
    <i r="1">
      <x v="9"/>
    </i>
    <i r="1">
      <x v="10"/>
    </i>
    <i r="1">
      <x v="11"/>
    </i>
    <i t="grand">
      <x/>
    </i>
  </rowItems>
  <colItems count="1">
    <i/>
  </colItems>
  <dataFields count="1">
    <dataField fld="2" subtotal="count" baseField="0" baseItem="0"/>
  </dataFields>
  <chartFormats count="3">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307407-3909-4004-9FAC-7CA578BAF8B8}" name="PivotTable3" cacheId="6" applyNumberFormats="0" applyBorderFormats="0" applyFontFormats="0" applyPatternFormats="0" applyAlignmentFormats="0" applyWidthHeightFormats="1" dataCaption="Values" tag="50a316c5-691c-46e8-b180-80063d8bcbc5" updatedVersion="8" minRefreshableVersion="3" useAutoFormatting="1" subtotalHiddenItems="1" itemPrintTitles="1" createdVersion="8" indent="0" outline="1" outlineData="1" multipleFieldFilters="0" chartFormat="20">
  <location ref="D3:E16" firstHeaderRow="1" firstDataRow="1" firstDataCol="1" rowPageCount="1" colPageCount="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pageFields count="1">
    <pageField fld="1" hier="8" name="[Energy Consumptions].[Date (Year)].&amp;[2018]" cap="2018"/>
  </pageFields>
  <dataFields count="1">
    <dataField fld="2" subtotal="count" showDataAs="percentDiff" baseField="0" baseItem="1048828" numFmtId="10"/>
  </dataFields>
  <chartFormats count="4">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35D15E-7066-4440-A739-63C2F4D16613}" name="PivotTable6" cacheId="8" applyNumberFormats="0" applyBorderFormats="0" applyFontFormats="0" applyPatternFormats="0" applyAlignmentFormats="0" applyWidthHeightFormats="1" dataCaption="Values" tag="3e6ed1a6-150f-40d5-8919-cfed68b574f8" updatedVersion="8" minRefreshableVersion="3" useAutoFormatting="1" subtotalHiddenItems="1" itemPrintTitles="1" createdVersion="8" indent="0" outline="1" outlineData="1" multipleFieldFilters="0" chartFormat="8">
  <location ref="G18:H24" firstHeaderRow="1" firstDataRow="1" firstDataCol="1" rowPageCount="1" colPageCount="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s>
  <rowFields count="1">
    <field x="0"/>
  </rowFields>
  <rowItems count="6">
    <i>
      <x/>
    </i>
    <i>
      <x v="3"/>
    </i>
    <i>
      <x v="2"/>
    </i>
    <i>
      <x v="4"/>
    </i>
    <i>
      <x v="1"/>
    </i>
    <i t="grand">
      <x/>
    </i>
  </rowItems>
  <colItems count="1">
    <i/>
  </colItems>
  <pageFields count="1">
    <pageField fld="3" hier="8" name="[Energy Consumptions].[Date (Year)].&amp;[2018]" cap="2018"/>
  </pageField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B4478C-1D04-47C3-AEAE-EEAF6E7ACCEF}" name="PivotTable8" cacheId="4" applyNumberFormats="0" applyBorderFormats="0" applyFontFormats="0" applyPatternFormats="0" applyAlignmentFormats="0" applyWidthHeightFormats="1" dataCaption="Values" tag="8d98280c-abcd-4542-8bbf-6be793909355" updatedVersion="8" minRefreshableVersion="3" useAutoFormatting="1" itemPrintTitles="1" createdVersion="8" indent="0" outline="1" outlineData="1" multipleFieldFilters="0">
  <location ref="I29:I30"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3" name="[Rates].[Energy Type].&amp;[Water]" cap="Water"/>
  </pageField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DDBE41-BB58-4B48-9F9D-D2B48A6B2211}" name="PivotTable4" cacheId="9" applyNumberFormats="0" applyBorderFormats="0" applyFontFormats="0" applyPatternFormats="0" applyAlignmentFormats="0" applyWidthHeightFormats="1" dataCaption="Values" tag="72ffbaf8-6c2a-4f21-bd16-88b0a1b8ae6b" updatedVersion="8" minRefreshableVersion="3" useAutoFormatting="1" subtotalHiddenItems="1" itemPrintTitles="1" createdVersion="8" indent="0" outline="1" outlineData="1" multipleFieldFilters="0" chartFormat="15">
  <location ref="G1:H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2">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 chart="10" format="9">
      <pivotArea type="data" outline="0" fieldPosition="0">
        <references count="2">
          <reference field="4294967294" count="1" selected="0">
            <x v="0"/>
          </reference>
          <reference field="0"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2" format="14" series="1">
      <pivotArea type="data" outline="0" fieldPosition="0">
        <references count="1">
          <reference field="4294967294" count="1" selected="0">
            <x v="0"/>
          </reference>
        </references>
      </pivotArea>
    </chartFormat>
    <chartFormat chart="12" format="15">
      <pivotArea type="data" outline="0" fieldPosition="0">
        <references count="2">
          <reference field="4294967294" count="1" selected="0">
            <x v="0"/>
          </reference>
          <reference field="0" count="1" selected="0">
            <x v="0"/>
          </reference>
        </references>
      </pivotArea>
    </chartFormat>
    <chartFormat chart="12" format="16">
      <pivotArea type="data" outline="0" fieldPosition="0">
        <references count="2">
          <reference field="4294967294" count="1" selected="0">
            <x v="0"/>
          </reference>
          <reference field="0" count="1" selected="0">
            <x v="1"/>
          </reference>
        </references>
      </pivotArea>
    </chartFormat>
    <chartFormat chart="12" format="17">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te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4504EC-5286-4DBF-9678-C0FBE9B464B7}" name="PivotTable11" cacheId="2" applyNumberFormats="0" applyBorderFormats="0" applyFontFormats="0" applyPatternFormats="0" applyAlignmentFormats="0" applyWidthHeightFormats="1" dataCaption="Values" tag="d8d50d4f-ee98-4d5c-b803-9a430bb13ff7" updatedVersion="8" minRefreshableVersion="3" useAutoFormatting="1" itemPrintTitles="1" createdVersion="8" indent="0" outline="1" outlineData="1" multipleFieldFilters="0">
  <location ref="I37:I38"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3" name="[Rates].[Energy Type].&amp;[Electricity]" cap="Electricity"/>
  </pageField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4B83D0-5C15-4FDE-B170-BE4858F3E27D}" name="PivotTable7" cacheId="3" applyNumberFormats="0" applyBorderFormats="0" applyFontFormats="0" applyPatternFormats="0" applyAlignmentFormats="0" applyWidthHeightFormats="1" dataCaption="Values" tag="46ad63b7-55da-4311-bec9-9f62d0c21831" updatedVersion="8" minRefreshableVersion="3" useAutoFormatting="1" subtotalHiddenItems="1" itemPrintTitles="1" createdVersion="8" indent="0" outline="1" outlineData="1" multipleFieldFilters="0">
  <location ref="G29:H30"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fld="1" subtotal="count" baseField="0" baseItem="0"/>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73F8CD-0E25-43B2-A68F-EF37D92C4B63}" name="PivotTable10" cacheId="1" applyNumberFormats="0" applyBorderFormats="0" applyFontFormats="0" applyPatternFormats="0" applyAlignmentFormats="0" applyWidthHeightFormats="1" dataCaption="Values" tag="1e8df0b2-63df-4ed3-a9e1-9e5a2cf01446" updatedVersion="8" minRefreshableVersion="3" useAutoFormatting="1" itemPrintTitles="1" createdVersion="8" indent="0" outline="1" outlineData="1" multipleFieldFilters="0">
  <location ref="M30:M31"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13" name="[Rates].[Energy Type].&amp;[Gas]" cap="Gas"/>
  </pageField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activeTabTopLevelEntity name="[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4BDBA5-128E-4467-AB57-F8FD3F083E19}" name="PivotTable5" cacheId="7" applyNumberFormats="0" applyBorderFormats="0" applyFontFormats="0" applyPatternFormats="0" applyAlignmentFormats="0" applyWidthHeightFormats="1" dataCaption="Values" tag="8aa46635-b271-4ad3-94a6-39702acb3f69" updatedVersion="8" minRefreshableVersion="3" useAutoFormatting="1" subtotalHiddenItems="1" itemPrintTitles="1" createdVersion="8" indent="0" outline="1" outlineData="1" multipleFieldFilters="0" chartFormat="8">
  <location ref="G8:H14" firstHeaderRow="1" firstDataRow="1" firstDataCol="1" rowPageCount="1" colPageCount="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v="4"/>
    </i>
    <i>
      <x/>
    </i>
    <i>
      <x v="1"/>
    </i>
    <i>
      <x v="3"/>
    </i>
    <i>
      <x v="2"/>
    </i>
    <i t="grand">
      <x/>
    </i>
  </rowItems>
  <colItems count="1">
    <i/>
  </colItems>
  <pageFields count="1">
    <pageField fld="2" hier="8" name="[Energy Consumptions].[Date (Year)].&amp;[2018]" cap="2018"/>
  </pageFields>
  <dataFields count="1">
    <dataField fld="1" subtotal="count" baseField="0" baseItem="0"/>
  </dataFields>
  <chartFormats count="3">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Energy Consumptions].[Date (Year)].&amp;[2018]"/>
      </members>
    </pivotHierarchy>
    <pivotHierarchy dragToData="1"/>
    <pivotHierarchy dragToData="1"/>
    <pivotHierarchy dragToData="1"/>
    <pivotHierarchy dragToData="1"/>
    <pivotHierarchy multipleItemSelectionAllowed="1" dragToData="1">
      <members count="1" level="1">
        <member name="[Rates].[Energy Type].&amp;[Water]"/>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9">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uilding Master]"/>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AF2B75-76D9-496F-B95A-D81862A5B971}" name="PivotTable9" cacheId="0" applyNumberFormats="0" applyBorderFormats="0" applyFontFormats="0" applyPatternFormats="0" applyAlignmentFormats="0" applyWidthHeightFormats="1" dataCaption="Values" tag="f8dcf6de-87bc-42c7-bfe1-edfb7245fddb" updatedVersion="8" minRefreshableVersion="3" useAutoFormatting="1" itemPrintTitles="1" createdVersion="8" indent="0" outline="1" outlineData="1" multipleFieldFilters="0">
  <location ref="K29:K30"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nergy Consumption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20ADDBC-F98A-4471-802E-D9E3460C1BBF}" sourceName="[Energy Consumptions].[Date (Year)]">
  <pivotTables>
    <pivotTable tabId="1" name="PivotTable2"/>
    <pivotTable tabId="1" name="PivotTable3"/>
    <pivotTable tabId="1" name="PivotTable5"/>
    <pivotTable tabId="1" name="PivotTable6"/>
    <pivotTable tabId="1" name="PivotTable4"/>
  </pivotTables>
  <data>
    <olap pivotCacheId="2050977472">
      <levels count="2">
        <level uniqueName="[Energy Consumptions].[Date (Year)].[(All)]" sourceCaption="(All)" count="0"/>
        <level uniqueName="[Energy Consumptions].[Date (Year)].[Date (Year)]" sourceCaption="Date (Year)" count="4">
          <ranges>
            <range startItem="0">
              <i n="[Energy Consumptions].[Date (Year)].&amp;[2016]" c="2016"/>
              <i n="[Energy Consumptions].[Date (Year)].&amp;[2017]" c="2017"/>
              <i n="[Energy Consumptions].[Date (Year)].&amp;[2018]" c="2018"/>
              <i n="[Energy Consumptions].[Date (Year)].&amp;[2019]" c="2019"/>
            </range>
          </ranges>
        </level>
      </levels>
      <selections count="1">
        <selection n="[Energy Consumptions].[Date (Year)].&amp;[2018]"/>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y_Type" xr10:uid="{A4B6F2FA-BF3E-461E-906A-D34F2C7288CF}" sourceName="[Rates].[Energy Type]">
  <pivotTables>
    <pivotTable tabId="1" name="PivotTable6"/>
    <pivotTable tabId="1" name="PivotTable2"/>
    <pivotTable tabId="1" name="PivotTable3"/>
    <pivotTable tabId="1" name="PivotTable5"/>
  </pivotTables>
  <data>
    <olap pivotCacheId="717674420">
      <levels count="2">
        <level uniqueName="[Rates].[Energy Type].[(All)]" sourceCaption="(All)" count="0"/>
        <level uniqueName="[Rates].[Energy Type].[Energy Type]" sourceCaption="Energy Type" count="3">
          <ranges>
            <range startItem="0">
              <i n="[Rates].[Energy Type].&amp;[Electricity]" c="Electricity"/>
              <i n="[Rates].[Energy Type].&amp;[Gas]" c="Gas"/>
              <i n="[Rates].[Energy Type].&amp;[Water]" c="Water"/>
            </range>
          </ranges>
        </level>
      </levels>
      <selections count="1">
        <selection n="[Rates].[Energy Type].&amp;[Water]"/>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1AC599D7-65D0-4A16-B8F4-9661064653AB}" cache="Slicer_Date__Year" caption="Date (Year)" showCaption="0" level="1" style="SlicerStyleDark1" rowHeight="247650"/>
  <slicer name="Energy Type" xr10:uid="{4CD90FA9-D1D3-4E81-AC08-CED67BC8DD21}" cache="Slicer_Energy_Type" caption="Energy Type" showCaption="0"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896CC-EE75-4D51-A6F9-2CF5A3FB736D}">
  <dimension ref="A1"/>
  <sheetViews>
    <sheetView tabSelected="1" zoomScaleNormal="100" workbookViewId="0"/>
  </sheetViews>
  <sheetFormatPr defaultRowHeight="14.4" x14ac:dyDescent="0.3"/>
  <sheetData/>
  <pageMargins left="0.7" right="0.7" top="0.75" bottom="0.75" header="0.3" footer="0.3"/>
  <pageSetup paperSize="9" orientation="portrait" horizontalDpi="200" verticalDpi="200" copies="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9C32-4F9F-477C-9A57-92EEFB2504A5}">
  <dimension ref="A1:N41"/>
  <sheetViews>
    <sheetView zoomScale="55" zoomScaleNormal="55" workbookViewId="0">
      <selection activeCell="D1" sqref="D1:E16"/>
    </sheetView>
  </sheetViews>
  <sheetFormatPr defaultRowHeight="14.4" x14ac:dyDescent="0.3"/>
  <cols>
    <col min="1" max="1" width="13" bestFit="1" customWidth="1"/>
    <col min="2" max="2" width="12.88671875" bestFit="1" customWidth="1"/>
    <col min="4" max="4" width="13" bestFit="1" customWidth="1"/>
    <col min="5" max="5" width="9.88671875" bestFit="1" customWidth="1"/>
    <col min="7" max="7" width="17.77734375" bestFit="1" customWidth="1"/>
    <col min="8" max="8" width="20" bestFit="1" customWidth="1"/>
    <col min="9" max="9" width="24.6640625" bestFit="1" customWidth="1"/>
    <col min="10" max="10" width="9.109375" customWidth="1"/>
    <col min="11" max="11" width="22.21875" bestFit="1" customWidth="1"/>
    <col min="13" max="13" width="20" bestFit="1" customWidth="1"/>
    <col min="14" max="14" width="6.77734375" bestFit="1" customWidth="1"/>
  </cols>
  <sheetData>
    <row r="1" spans="1:8" x14ac:dyDescent="0.3">
      <c r="A1" s="1" t="s">
        <v>0</v>
      </c>
      <c r="B1" t="s">
        <v>14</v>
      </c>
      <c r="D1" s="1" t="s">
        <v>29</v>
      </c>
      <c r="E1" t="s" vm="4">
        <v>32</v>
      </c>
      <c r="G1" s="1" t="s">
        <v>0</v>
      </c>
      <c r="H1" t="s">
        <v>14</v>
      </c>
    </row>
    <row r="2" spans="1:8" x14ac:dyDescent="0.3">
      <c r="A2" s="2" t="s">
        <v>32</v>
      </c>
      <c r="G2" s="2" t="s">
        <v>15</v>
      </c>
      <c r="H2" s="5">
        <v>542462.35999999987</v>
      </c>
    </row>
    <row r="3" spans="1:8" x14ac:dyDescent="0.3">
      <c r="A3" s="3" t="s">
        <v>2</v>
      </c>
      <c r="B3" s="5">
        <v>234172.44950000002</v>
      </c>
      <c r="D3" s="1" t="s">
        <v>0</v>
      </c>
      <c r="E3" t="s">
        <v>14</v>
      </c>
      <c r="G3" s="2" t="s">
        <v>16</v>
      </c>
      <c r="H3" s="5">
        <v>825904.85999999975</v>
      </c>
    </row>
    <row r="4" spans="1:8" x14ac:dyDescent="0.3">
      <c r="A4" s="3" t="s">
        <v>3</v>
      </c>
      <c r="B4" s="5">
        <v>271690.49599999998</v>
      </c>
      <c r="D4" s="2" t="s">
        <v>2</v>
      </c>
      <c r="E4" s="4"/>
      <c r="G4" s="2" t="s">
        <v>17</v>
      </c>
      <c r="H4" s="5">
        <v>2865924.2645000014</v>
      </c>
    </row>
    <row r="5" spans="1:8" x14ac:dyDescent="0.3">
      <c r="A5" s="3" t="s">
        <v>4</v>
      </c>
      <c r="B5" s="5">
        <v>231119.43799999999</v>
      </c>
      <c r="D5" s="2" t="s">
        <v>3</v>
      </c>
      <c r="E5" s="4">
        <v>0.16021545907773393</v>
      </c>
      <c r="G5" s="2" t="s">
        <v>1</v>
      </c>
      <c r="H5" s="5">
        <v>4234291.4845000012</v>
      </c>
    </row>
    <row r="6" spans="1:8" x14ac:dyDescent="0.3">
      <c r="A6" s="3" t="s">
        <v>5</v>
      </c>
      <c r="B6" s="5">
        <v>271875.56550000003</v>
      </c>
      <c r="D6" s="2" t="s">
        <v>4</v>
      </c>
      <c r="E6" s="4">
        <v>-0.1493282194162581</v>
      </c>
      <c r="G6" s="1" t="s">
        <v>29</v>
      </c>
      <c r="H6" t="s" vm="4">
        <v>32</v>
      </c>
    </row>
    <row r="7" spans="1:8" x14ac:dyDescent="0.3">
      <c r="A7" s="3" t="s">
        <v>6</v>
      </c>
      <c r="B7" s="5">
        <v>233078.73050000001</v>
      </c>
      <c r="D7" s="2" t="s">
        <v>5</v>
      </c>
      <c r="E7" s="4">
        <v>0.1763422750275121</v>
      </c>
    </row>
    <row r="8" spans="1:8" x14ac:dyDescent="0.3">
      <c r="A8" s="3" t="s">
        <v>7</v>
      </c>
      <c r="B8" s="5">
        <v>242083.49</v>
      </c>
      <c r="D8" s="2" t="s">
        <v>6</v>
      </c>
      <c r="E8" s="4">
        <v>-0.14270070548138325</v>
      </c>
      <c r="G8" s="1" t="s">
        <v>0</v>
      </c>
      <c r="H8" t="s">
        <v>14</v>
      </c>
    </row>
    <row r="9" spans="1:8" x14ac:dyDescent="0.3">
      <c r="A9" s="3" t="s">
        <v>8</v>
      </c>
      <c r="B9" s="5">
        <v>239582.541</v>
      </c>
      <c r="D9" s="2" t="s">
        <v>7</v>
      </c>
      <c r="E9" s="4">
        <v>3.8633982091300201E-2</v>
      </c>
      <c r="G9" s="2" t="s">
        <v>30</v>
      </c>
      <c r="H9" s="5">
        <v>297976.71749999997</v>
      </c>
    </row>
    <row r="10" spans="1:8" x14ac:dyDescent="0.3">
      <c r="A10" s="3" t="s">
        <v>9</v>
      </c>
      <c r="B10" s="5">
        <v>241159.29199999999</v>
      </c>
      <c r="D10" s="2" t="s">
        <v>8</v>
      </c>
      <c r="E10" s="4">
        <v>-1.033093582713961E-2</v>
      </c>
      <c r="G10" s="2" t="s">
        <v>31</v>
      </c>
      <c r="H10" s="5">
        <v>296804.89300000004</v>
      </c>
    </row>
    <row r="11" spans="1:8" x14ac:dyDescent="0.3">
      <c r="A11" s="3" t="s">
        <v>10</v>
      </c>
      <c r="B11" s="5">
        <v>205450.80049999998</v>
      </c>
      <c r="D11" s="2" t="s">
        <v>9</v>
      </c>
      <c r="E11" s="4">
        <v>6.5812433302474627E-3</v>
      </c>
      <c r="G11" s="2" t="s">
        <v>18</v>
      </c>
      <c r="H11" s="5">
        <v>284733.32800000004</v>
      </c>
    </row>
    <row r="12" spans="1:8" x14ac:dyDescent="0.3">
      <c r="A12" s="3" t="s">
        <v>11</v>
      </c>
      <c r="B12" s="5">
        <v>228132.37149999995</v>
      </c>
      <c r="D12" s="2" t="s">
        <v>10</v>
      </c>
      <c r="E12" s="4">
        <v>-0.14807014568611357</v>
      </c>
      <c r="G12" s="2" t="s">
        <v>19</v>
      </c>
      <c r="H12" s="5">
        <v>280613.76199999999</v>
      </c>
    </row>
    <row r="13" spans="1:8" x14ac:dyDescent="0.3">
      <c r="A13" s="3" t="s">
        <v>12</v>
      </c>
      <c r="B13" s="5">
        <v>231815.73249999998</v>
      </c>
      <c r="D13" s="2" t="s">
        <v>11</v>
      </c>
      <c r="E13" s="4">
        <v>0.11039903930673645</v>
      </c>
      <c r="G13" s="2" t="s">
        <v>33</v>
      </c>
      <c r="H13" s="5">
        <v>267695.43899999995</v>
      </c>
    </row>
    <row r="14" spans="1:8" x14ac:dyDescent="0.3">
      <c r="A14" s="3" t="s">
        <v>13</v>
      </c>
      <c r="B14" s="5">
        <v>235763.35749999998</v>
      </c>
      <c r="D14" s="2" t="s">
        <v>12</v>
      </c>
      <c r="E14" s="4">
        <v>1.6145718276549079E-2</v>
      </c>
      <c r="G14" s="2" t="s">
        <v>1</v>
      </c>
      <c r="H14" s="5">
        <v>1427824.1395000003</v>
      </c>
    </row>
    <row r="15" spans="1:8" x14ac:dyDescent="0.3">
      <c r="A15" s="2" t="s">
        <v>1</v>
      </c>
      <c r="B15" s="5">
        <v>2865924.2645000014</v>
      </c>
      <c r="D15" s="2" t="s">
        <v>13</v>
      </c>
      <c r="E15" s="4">
        <v>1.7029150512897134E-2</v>
      </c>
    </row>
    <row r="16" spans="1:8" x14ac:dyDescent="0.3">
      <c r="D16" s="2" t="s">
        <v>1</v>
      </c>
      <c r="E16" s="4"/>
      <c r="G16" s="1" t="s">
        <v>29</v>
      </c>
      <c r="H16" t="s" vm="4">
        <v>32</v>
      </c>
    </row>
    <row r="18" spans="7:14" x14ac:dyDescent="0.3">
      <c r="G18" s="1" t="s">
        <v>0</v>
      </c>
      <c r="H18" t="s">
        <v>14</v>
      </c>
    </row>
    <row r="19" spans="7:14" x14ac:dyDescent="0.3">
      <c r="G19" s="2" t="s">
        <v>20</v>
      </c>
      <c r="H19" s="5">
        <v>799493.76650000003</v>
      </c>
    </row>
    <row r="20" spans="7:14" x14ac:dyDescent="0.3">
      <c r="G20" s="2" t="s">
        <v>23</v>
      </c>
      <c r="H20" s="5">
        <v>798151.51349999977</v>
      </c>
    </row>
    <row r="21" spans="7:14" x14ac:dyDescent="0.3">
      <c r="G21" s="2" t="s">
        <v>22</v>
      </c>
      <c r="H21" s="5">
        <v>719969.78350000014</v>
      </c>
    </row>
    <row r="22" spans="7:14" x14ac:dyDescent="0.3">
      <c r="G22" s="2" t="s">
        <v>24</v>
      </c>
      <c r="H22" s="5">
        <v>280613.76199999999</v>
      </c>
    </row>
    <row r="23" spans="7:14" x14ac:dyDescent="0.3">
      <c r="G23" s="2" t="s">
        <v>21</v>
      </c>
      <c r="H23" s="5">
        <v>267695.43899999995</v>
      </c>
    </row>
    <row r="24" spans="7:14" x14ac:dyDescent="0.3">
      <c r="G24" s="2" t="s">
        <v>1</v>
      </c>
      <c r="H24" s="5">
        <v>2865924.2645000014</v>
      </c>
    </row>
    <row r="27" spans="7:14" x14ac:dyDescent="0.3">
      <c r="I27" s="1" t="s">
        <v>25</v>
      </c>
      <c r="J27" t="s" vm="1">
        <v>17</v>
      </c>
    </row>
    <row r="28" spans="7:14" x14ac:dyDescent="0.3">
      <c r="M28" s="1" t="s">
        <v>25</v>
      </c>
      <c r="N28" t="s" vm="2">
        <v>16</v>
      </c>
    </row>
    <row r="29" spans="7:14" x14ac:dyDescent="0.3">
      <c r="G29" t="s">
        <v>27</v>
      </c>
      <c r="H29" t="s">
        <v>26</v>
      </c>
      <c r="I29" t="s">
        <v>28</v>
      </c>
      <c r="K29" t="s">
        <v>14</v>
      </c>
    </row>
    <row r="30" spans="7:14" x14ac:dyDescent="0.3">
      <c r="G30" s="7">
        <v>5</v>
      </c>
      <c r="H30">
        <v>11</v>
      </c>
      <c r="I30" s="5">
        <v>10806192.067000002</v>
      </c>
      <c r="K30" s="5">
        <v>15842498.963239999</v>
      </c>
      <c r="M30" t="s">
        <v>28</v>
      </c>
    </row>
    <row r="31" spans="7:14" x14ac:dyDescent="0.3">
      <c r="M31" s="5">
        <v>3011010.8739999998</v>
      </c>
    </row>
    <row r="32" spans="7:14" x14ac:dyDescent="0.3">
      <c r="G32" s="6" t="str">
        <f>"Number of Cities  
"&amp; GETPIVOTDATA("[Measures].[Count of Cities]",$G$29)</f>
        <v>Number of Cities  
5</v>
      </c>
      <c r="H32" t="str">
        <f>"Count of Buliding 
  " &amp; GETPIVOTDATA("[Measures].[Count of Buliding]",$G$29)</f>
        <v>Count of Buliding 
  11</v>
      </c>
      <c r="I32" t="str">
        <f>" Water Cost  
  " &amp;TEXT(GETPIVOTDATA("[Measures].[Cost Price]",$I$29),"$##00")</f>
        <v xml:space="preserve"> Water Cost  
  $10806192</v>
      </c>
      <c r="K32" t="str">
        <f>"Total Price 
   " &amp; TEXT(GETPIVOTDATA("[Measures].[Total Price]",$K$29),"$##00")</f>
        <v>Total Price 
   $15842499</v>
      </c>
    </row>
    <row r="33" spans="9:13" x14ac:dyDescent="0.3">
      <c r="M33" t="str">
        <f>"Gas Cost  
  " &amp;TEXT(GETPIVOTDATA("[Measures].[Cost Price]",$M$30),"$##00")</f>
        <v>Gas Cost  
  $3011011</v>
      </c>
    </row>
    <row r="35" spans="9:13" x14ac:dyDescent="0.3">
      <c r="I35" s="1" t="s">
        <v>25</v>
      </c>
      <c r="J35" t="s" vm="3">
        <v>15</v>
      </c>
    </row>
    <row r="37" spans="9:13" x14ac:dyDescent="0.3">
      <c r="I37" t="s">
        <v>28</v>
      </c>
    </row>
    <row r="38" spans="9:13" x14ac:dyDescent="0.3">
      <c r="I38" s="5">
        <v>2025296.0222399998</v>
      </c>
    </row>
    <row r="41" spans="9:13" x14ac:dyDescent="0.3">
      <c r="I41" t="str">
        <f>"Electricity Cost 
  "  &amp;TEXT(GETPIVOTDATA("[Measures].[Cost Price]",$I$37),"$##00")</f>
        <v>Electricity Cost 
  $2025296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DC2A0C9-6F42-4D4D-998F-FD7C447ECEA3}">
  <ds:schemaRefs/>
</ds:datastoreItem>
</file>

<file path=customXml/itemProps2.xml><?xml version="1.0" encoding="utf-8"?>
<ds:datastoreItem xmlns:ds="http://schemas.openxmlformats.org/officeDocument/2006/customXml" ds:itemID="{93AB684E-B9F2-457C-B663-E226B408C040}">
  <ds:schemaRefs>
    <ds:schemaRef ds:uri="http://schemas.microsoft.com/DataMashup"/>
  </ds:schemaRefs>
</ds:datastoreItem>
</file>

<file path=customXml/itemProps3.xml><?xml version="1.0" encoding="utf-8"?>
<ds:datastoreItem xmlns:ds="http://schemas.openxmlformats.org/officeDocument/2006/customXml" ds:itemID="{92D1AB01-95E2-4C12-BB2A-24CD4243B24F}">
  <ds:schemaRefs/>
</ds:datastoreItem>
</file>

<file path=customXml/itemProps4.xml><?xml version="1.0" encoding="utf-8"?>
<ds:datastoreItem xmlns:ds="http://schemas.openxmlformats.org/officeDocument/2006/customXml" ds:itemID="{A54ACA2A-7C5F-4635-AC4C-303CBD34FC61}">
  <ds:schemaRefs/>
</ds:datastoreItem>
</file>

<file path=customXml/itemProps5.xml><?xml version="1.0" encoding="utf-8"?>
<ds:datastoreItem xmlns:ds="http://schemas.openxmlformats.org/officeDocument/2006/customXml" ds:itemID="{689F02B9-9A6A-4FE7-8069-F002D725DACE}">
  <ds:schemaRefs/>
</ds:datastoreItem>
</file>

<file path=customXml/itemProps6.xml><?xml version="1.0" encoding="utf-8"?>
<ds:datastoreItem xmlns:ds="http://schemas.openxmlformats.org/officeDocument/2006/customXml" ds:itemID="{FE9E4E3A-F042-44FE-A617-02A50B866306}">
  <ds:schemaRefs/>
</ds:datastoreItem>
</file>

<file path=customXml/itemProps7.xml><?xml version="1.0" encoding="utf-8"?>
<ds:datastoreItem xmlns:ds="http://schemas.openxmlformats.org/officeDocument/2006/customXml" ds:itemID="{2A5D95C4-75A2-49DD-A173-CC59B8304362}">
  <ds:schemaRefs/>
</ds:datastoreItem>
</file>

<file path=customXml/itemProps8.xml><?xml version="1.0" encoding="utf-8"?>
<ds:datastoreItem xmlns:ds="http://schemas.openxmlformats.org/officeDocument/2006/customXml" ds:itemID="{99D36187-B423-4E8F-90F2-85CFDD7C2262}">
  <ds:schemaRefs/>
</ds:datastoreItem>
</file>

<file path=customXml/itemProps9.xml><?xml version="1.0" encoding="utf-8"?>
<ds:datastoreItem xmlns:ds="http://schemas.openxmlformats.org/officeDocument/2006/customXml" ds:itemID="{5B511E49-B298-4E5A-8AA0-DB9C07E6ACB9}">
  <ds:schemaRefs/>
</ds:datastoreItem>
</file>

<file path=customXml/itemProps10.xml><?xml version="1.0" encoding="utf-8"?>
<ds:datastoreItem xmlns:ds="http://schemas.openxmlformats.org/officeDocument/2006/customXml" ds:itemID="{0DFBC0C8-D571-4080-80E6-29FA83F7CA61}">
  <ds:schemaRefs/>
</ds:datastoreItem>
</file>

<file path=customXml/itemProps11.xml><?xml version="1.0" encoding="utf-8"?>
<ds:datastoreItem xmlns:ds="http://schemas.openxmlformats.org/officeDocument/2006/customXml" ds:itemID="{FE2F1632-E019-4F4F-A804-56774AB3A067}">
  <ds:schemaRefs/>
</ds:datastoreItem>
</file>

<file path=customXml/itemProps12.xml><?xml version="1.0" encoding="utf-8"?>
<ds:datastoreItem xmlns:ds="http://schemas.openxmlformats.org/officeDocument/2006/customXml" ds:itemID="{95CD499E-9C87-4811-BBAB-4EBC0AB821B6}">
  <ds:schemaRefs/>
</ds:datastoreItem>
</file>

<file path=customXml/itemProps13.xml><?xml version="1.0" encoding="utf-8"?>
<ds:datastoreItem xmlns:ds="http://schemas.openxmlformats.org/officeDocument/2006/customXml" ds:itemID="{C262E704-BFC6-4301-822A-D69CBF4EEA2A}">
  <ds:schemaRefs/>
</ds:datastoreItem>
</file>

<file path=customXml/itemProps14.xml><?xml version="1.0" encoding="utf-8"?>
<ds:datastoreItem xmlns:ds="http://schemas.openxmlformats.org/officeDocument/2006/customXml" ds:itemID="{4FB84364-46AC-46F9-B56F-8B2F61B75DC3}">
  <ds:schemaRefs/>
</ds:datastoreItem>
</file>

<file path=customXml/itemProps15.xml><?xml version="1.0" encoding="utf-8"?>
<ds:datastoreItem xmlns:ds="http://schemas.openxmlformats.org/officeDocument/2006/customXml" ds:itemID="{E46B3F07-FB5B-4221-AAA4-CBF69CA30904}">
  <ds:schemaRefs/>
</ds:datastoreItem>
</file>

<file path=customXml/itemProps16.xml><?xml version="1.0" encoding="utf-8"?>
<ds:datastoreItem xmlns:ds="http://schemas.openxmlformats.org/officeDocument/2006/customXml" ds:itemID="{D258B306-ACCE-4771-A04B-F52ECC8B7833}">
  <ds:schemaRefs/>
</ds:datastoreItem>
</file>

<file path=customXml/itemProps17.xml><?xml version="1.0" encoding="utf-8"?>
<ds:datastoreItem xmlns:ds="http://schemas.openxmlformats.org/officeDocument/2006/customXml" ds:itemID="{CB154376-8364-41A9-8132-7EAFA373D3ED}">
  <ds:schemaRefs/>
</ds:datastoreItem>
</file>

<file path=customXml/itemProps18.xml><?xml version="1.0" encoding="utf-8"?>
<ds:datastoreItem xmlns:ds="http://schemas.openxmlformats.org/officeDocument/2006/customXml" ds:itemID="{2703F1F3-EDB5-4AD1-96F4-E1919A819B4C}">
  <ds:schemaRefs/>
</ds:datastoreItem>
</file>

<file path=customXml/itemProps19.xml><?xml version="1.0" encoding="utf-8"?>
<ds:datastoreItem xmlns:ds="http://schemas.openxmlformats.org/officeDocument/2006/customXml" ds:itemID="{55CB9903-5899-4F7E-8156-B4C0887D849F}">
  <ds:schemaRefs/>
</ds:datastoreItem>
</file>

<file path=customXml/itemProps20.xml><?xml version="1.0" encoding="utf-8"?>
<ds:datastoreItem xmlns:ds="http://schemas.openxmlformats.org/officeDocument/2006/customXml" ds:itemID="{C6DFAE65-7142-45C7-B989-491E25A9BB44}">
  <ds:schemaRefs/>
</ds:datastoreItem>
</file>

<file path=customXml/itemProps21.xml><?xml version="1.0" encoding="utf-8"?>
<ds:datastoreItem xmlns:ds="http://schemas.openxmlformats.org/officeDocument/2006/customXml" ds:itemID="{4A55E37F-3191-483E-A1F3-FEEF91088BA3}">
  <ds:schemaRefs/>
</ds:datastoreItem>
</file>

<file path=customXml/itemProps22.xml><?xml version="1.0" encoding="utf-8"?>
<ds:datastoreItem xmlns:ds="http://schemas.openxmlformats.org/officeDocument/2006/customXml" ds:itemID="{E6C85E25-127F-415E-A883-1739D29455F4}">
  <ds:schemaRefs/>
</ds:datastoreItem>
</file>

<file path=customXml/itemProps23.xml><?xml version="1.0" encoding="utf-8"?>
<ds:datastoreItem xmlns:ds="http://schemas.openxmlformats.org/officeDocument/2006/customXml" ds:itemID="{F8428279-3200-4638-A6D1-9B2F82EDDF0D}">
  <ds:schemaRefs/>
</ds:datastoreItem>
</file>

<file path=customXml/itemProps24.xml><?xml version="1.0" encoding="utf-8"?>
<ds:datastoreItem xmlns:ds="http://schemas.openxmlformats.org/officeDocument/2006/customXml" ds:itemID="{E6F014C4-000D-4105-B774-B11AE2626134}">
  <ds:schemaRefs/>
</ds:datastoreItem>
</file>

<file path=customXml/itemProps25.xml><?xml version="1.0" encoding="utf-8"?>
<ds:datastoreItem xmlns:ds="http://schemas.openxmlformats.org/officeDocument/2006/customXml" ds:itemID="{C3B3D24E-77AE-454C-A432-4D8361A3959E}">
  <ds:schemaRefs/>
</ds:datastoreItem>
</file>

<file path=customXml/itemProps26.xml><?xml version="1.0" encoding="utf-8"?>
<ds:datastoreItem xmlns:ds="http://schemas.openxmlformats.org/officeDocument/2006/customXml" ds:itemID="{235A61EB-4B97-4A31-A910-4715FF39AFEC}">
  <ds:schemaRefs/>
</ds:datastoreItem>
</file>

<file path=customXml/itemProps27.xml><?xml version="1.0" encoding="utf-8"?>
<ds:datastoreItem xmlns:ds="http://schemas.openxmlformats.org/officeDocument/2006/customXml" ds:itemID="{9736F189-A320-43F9-8306-A03E552BEDC2}">
  <ds:schemaRefs/>
</ds:datastoreItem>
</file>

<file path=customXml/itemProps28.xml><?xml version="1.0" encoding="utf-8"?>
<ds:datastoreItem xmlns:ds="http://schemas.openxmlformats.org/officeDocument/2006/customXml" ds:itemID="{93A5BD08-24A2-4BE0-B4CF-46FD0C1347DA}">
  <ds:schemaRefs/>
</ds:datastoreItem>
</file>

<file path=customXml/itemProps29.xml><?xml version="1.0" encoding="utf-8"?>
<ds:datastoreItem xmlns:ds="http://schemas.openxmlformats.org/officeDocument/2006/customXml" ds:itemID="{4D34E562-2AF9-41B6-B1FD-D8D31B30A411}">
  <ds:schemaRefs/>
</ds:datastoreItem>
</file>

<file path=customXml/itemProps30.xml><?xml version="1.0" encoding="utf-8"?>
<ds:datastoreItem xmlns:ds="http://schemas.openxmlformats.org/officeDocument/2006/customXml" ds:itemID="{5B8711BD-4BCB-439E-9C7F-1A84D4B606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Dashboard(Cost)</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yossef Haytham Mousa</dc:creator>
  <cp:lastModifiedBy>yossef Haytham Mousa</cp:lastModifiedBy>
  <dcterms:created xsi:type="dcterms:W3CDTF">2026-02-03T00:05:39Z</dcterms:created>
  <dcterms:modified xsi:type="dcterms:W3CDTF">2026-02-06T04:53:49Z</dcterms:modified>
</cp:coreProperties>
</file>